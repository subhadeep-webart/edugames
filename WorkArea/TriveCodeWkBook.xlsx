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ivia-smackdown.com\WorkArea\"/>
    </mc:Choice>
  </mc:AlternateContent>
  <xr:revisionPtr revIDLastSave="0" documentId="13_ncr:1_{437F183D-1C86-4C25-8473-59BF694C5731}" xr6:coauthVersionLast="47" xr6:coauthVersionMax="47" xr10:uidLastSave="{00000000-0000-0000-0000-000000000000}"/>
  <bookViews>
    <workbookView xWindow="9540" yWindow="945" windowWidth="32325" windowHeight="13890" xr2:uid="{FCB82E56-9FDA-4E13-BA24-6991FFEDB5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A25" i="1"/>
  <c r="C25" i="1" s="1"/>
  <c r="D25" i="1" s="1"/>
  <c r="B25" i="1"/>
  <c r="A26" i="1"/>
  <c r="C26" i="1" s="1"/>
  <c r="B26" i="1"/>
  <c r="A27" i="1"/>
  <c r="C27" i="1" s="1"/>
  <c r="B27" i="1"/>
  <c r="A28" i="1"/>
  <c r="B28" i="1"/>
  <c r="C28" i="1"/>
  <c r="D28" i="1" s="1"/>
  <c r="A29" i="1"/>
  <c r="C29" i="1" s="1"/>
  <c r="D29" i="1" s="1"/>
  <c r="B29" i="1"/>
  <c r="A30" i="1"/>
  <c r="C30" i="1" s="1"/>
  <c r="B30" i="1"/>
  <c r="A31" i="1"/>
  <c r="C31" i="1" s="1"/>
  <c r="B31" i="1"/>
  <c r="A32" i="1"/>
  <c r="C32" i="1" s="1"/>
  <c r="D32" i="1" s="1"/>
  <c r="B32" i="1"/>
  <c r="A33" i="1"/>
  <c r="C33" i="1" s="1"/>
  <c r="D33" i="1" s="1"/>
  <c r="B33" i="1"/>
  <c r="A34" i="1"/>
  <c r="C34" i="1" s="1"/>
  <c r="B34" i="1"/>
  <c r="A35" i="1"/>
  <c r="C35" i="1" s="1"/>
  <c r="B35" i="1"/>
  <c r="A36" i="1"/>
  <c r="C36" i="1" s="1"/>
  <c r="D36" i="1" s="1"/>
  <c r="B36" i="1"/>
  <c r="A37" i="1"/>
  <c r="C37" i="1" s="1"/>
  <c r="D37" i="1" s="1"/>
  <c r="E37" i="1" s="1"/>
  <c r="B37" i="1"/>
  <c r="A38" i="1"/>
  <c r="C38" i="1" s="1"/>
  <c r="B38" i="1"/>
  <c r="A39" i="1"/>
  <c r="C39" i="1" s="1"/>
  <c r="B39" i="1"/>
  <c r="A40" i="1"/>
  <c r="C40" i="1" s="1"/>
  <c r="D40" i="1" s="1"/>
  <c r="B40" i="1"/>
  <c r="A41" i="1"/>
  <c r="C41" i="1" s="1"/>
  <c r="D41" i="1" s="1"/>
  <c r="B41" i="1"/>
  <c r="A42" i="1"/>
  <c r="C42" i="1" s="1"/>
  <c r="B42" i="1"/>
  <c r="A43" i="1"/>
  <c r="C43" i="1" s="1"/>
  <c r="B43" i="1"/>
  <c r="A44" i="1"/>
  <c r="B44" i="1"/>
  <c r="C44" i="1"/>
  <c r="D44" i="1" s="1"/>
  <c r="A45" i="1"/>
  <c r="C45" i="1" s="1"/>
  <c r="D45" i="1" s="1"/>
  <c r="E45" i="1" s="1"/>
  <c r="B45" i="1"/>
  <c r="A46" i="1"/>
  <c r="C46" i="1" s="1"/>
  <c r="B46" i="1"/>
  <c r="A47" i="1"/>
  <c r="C47" i="1" s="1"/>
  <c r="B47" i="1"/>
  <c r="A48" i="1"/>
  <c r="C48" i="1" s="1"/>
  <c r="D48" i="1" s="1"/>
  <c r="B48" i="1"/>
  <c r="A49" i="1"/>
  <c r="C49" i="1" s="1"/>
  <c r="D49" i="1" s="1"/>
  <c r="B49" i="1"/>
  <c r="A50" i="1"/>
  <c r="C50" i="1" s="1"/>
  <c r="B50" i="1"/>
  <c r="A51" i="1"/>
  <c r="C51" i="1" s="1"/>
  <c r="B51" i="1"/>
  <c r="A52" i="1"/>
  <c r="C52" i="1" s="1"/>
  <c r="D52" i="1" s="1"/>
  <c r="B52" i="1"/>
  <c r="A53" i="1"/>
  <c r="C53" i="1" s="1"/>
  <c r="D53" i="1" s="1"/>
  <c r="B53" i="1"/>
  <c r="A54" i="1"/>
  <c r="C54" i="1" s="1"/>
  <c r="B54" i="1"/>
  <c r="A55" i="1"/>
  <c r="C55" i="1" s="1"/>
  <c r="B55" i="1"/>
  <c r="A56" i="1"/>
  <c r="B56" i="1"/>
  <c r="C56" i="1"/>
  <c r="D56" i="1" s="1"/>
  <c r="A57" i="1"/>
  <c r="C57" i="1" s="1"/>
  <c r="D57" i="1" s="1"/>
  <c r="B57" i="1"/>
  <c r="A58" i="1"/>
  <c r="C58" i="1" s="1"/>
  <c r="B58" i="1"/>
  <c r="A59" i="1"/>
  <c r="C59" i="1" s="1"/>
  <c r="B59" i="1"/>
  <c r="A60" i="1"/>
  <c r="C60" i="1" s="1"/>
  <c r="D60" i="1" s="1"/>
  <c r="B60" i="1"/>
  <c r="A61" i="1"/>
  <c r="C61" i="1" s="1"/>
  <c r="D61" i="1" s="1"/>
  <c r="E61" i="1" s="1"/>
  <c r="B61" i="1"/>
  <c r="A62" i="1"/>
  <c r="C62" i="1" s="1"/>
  <c r="B62" i="1"/>
  <c r="A63" i="1"/>
  <c r="C63" i="1" s="1"/>
  <c r="B63" i="1"/>
  <c r="A64" i="1"/>
  <c r="C64" i="1" s="1"/>
  <c r="D64" i="1" s="1"/>
  <c r="B64" i="1"/>
  <c r="A65" i="1"/>
  <c r="C65" i="1" s="1"/>
  <c r="D65" i="1" s="1"/>
  <c r="B65" i="1"/>
  <c r="A66" i="1"/>
  <c r="C66" i="1" s="1"/>
  <c r="B66" i="1"/>
  <c r="A67" i="1"/>
  <c r="C67" i="1" s="1"/>
  <c r="B67" i="1"/>
  <c r="A68" i="1"/>
  <c r="B68" i="1"/>
  <c r="C68" i="1"/>
  <c r="D68" i="1" s="1"/>
  <c r="A69" i="1"/>
  <c r="C69" i="1" s="1"/>
  <c r="D69" i="1" s="1"/>
  <c r="B69" i="1"/>
  <c r="A70" i="1"/>
  <c r="C70" i="1" s="1"/>
  <c r="B70" i="1"/>
  <c r="A71" i="1"/>
  <c r="C71" i="1" s="1"/>
  <c r="B71" i="1"/>
  <c r="A72" i="1"/>
  <c r="C72" i="1" s="1"/>
  <c r="D72" i="1" s="1"/>
  <c r="B72" i="1"/>
  <c r="A73" i="1"/>
  <c r="C73" i="1" s="1"/>
  <c r="D73" i="1" s="1"/>
  <c r="B73" i="1"/>
  <c r="A74" i="1"/>
  <c r="C74" i="1" s="1"/>
  <c r="B74" i="1"/>
  <c r="A75" i="1"/>
  <c r="C75" i="1" s="1"/>
  <c r="B75" i="1"/>
  <c r="A76" i="1"/>
  <c r="C76" i="1" s="1"/>
  <c r="D76" i="1" s="1"/>
  <c r="B76" i="1"/>
  <c r="A77" i="1"/>
  <c r="C77" i="1" s="1"/>
  <c r="D77" i="1" s="1"/>
  <c r="F77" i="1" s="1"/>
  <c r="B77" i="1"/>
  <c r="A78" i="1"/>
  <c r="C78" i="1" s="1"/>
  <c r="B78" i="1"/>
  <c r="A79" i="1"/>
  <c r="C79" i="1" s="1"/>
  <c r="B79" i="1"/>
  <c r="A80" i="1"/>
  <c r="C80" i="1" s="1"/>
  <c r="D80" i="1" s="1"/>
  <c r="F80" i="1" s="1"/>
  <c r="B80" i="1"/>
  <c r="A81" i="1"/>
  <c r="C81" i="1" s="1"/>
  <c r="D81" i="1" s="1"/>
  <c r="B81" i="1"/>
  <c r="A82" i="1"/>
  <c r="C82" i="1" s="1"/>
  <c r="B82" i="1"/>
  <c r="A83" i="1"/>
  <c r="C83" i="1" s="1"/>
  <c r="B83" i="1"/>
  <c r="A84" i="1"/>
  <c r="C84" i="1" s="1"/>
  <c r="D84" i="1" s="1"/>
  <c r="B84" i="1"/>
  <c r="A85" i="1"/>
  <c r="C85" i="1" s="1"/>
  <c r="D85" i="1" s="1"/>
  <c r="B85" i="1"/>
  <c r="A86" i="1"/>
  <c r="C86" i="1" s="1"/>
  <c r="B86" i="1"/>
  <c r="A87" i="1"/>
  <c r="C87" i="1" s="1"/>
  <c r="B87" i="1"/>
  <c r="A88" i="1"/>
  <c r="C88" i="1" s="1"/>
  <c r="D88" i="1" s="1"/>
  <c r="B88" i="1"/>
  <c r="A89" i="1"/>
  <c r="C89" i="1" s="1"/>
  <c r="D89" i="1" s="1"/>
  <c r="B89" i="1"/>
  <c r="A90" i="1"/>
  <c r="C90" i="1" s="1"/>
  <c r="B90" i="1"/>
  <c r="A91" i="1"/>
  <c r="C91" i="1" s="1"/>
  <c r="B91" i="1"/>
  <c r="A92" i="1"/>
  <c r="C92" i="1" s="1"/>
  <c r="D92" i="1" s="1"/>
  <c r="B92" i="1"/>
  <c r="A93" i="1"/>
  <c r="C93" i="1" s="1"/>
  <c r="D93" i="1" s="1"/>
  <c r="E93" i="1" s="1"/>
  <c r="B93" i="1"/>
  <c r="A94" i="1"/>
  <c r="C94" i="1" s="1"/>
  <c r="B94" i="1"/>
  <c r="A95" i="1"/>
  <c r="C95" i="1" s="1"/>
  <c r="B95" i="1"/>
  <c r="A96" i="1"/>
  <c r="C96" i="1" s="1"/>
  <c r="D96" i="1" s="1"/>
  <c r="B96" i="1"/>
  <c r="A97" i="1"/>
  <c r="C97" i="1" s="1"/>
  <c r="D97" i="1" s="1"/>
  <c r="B97" i="1"/>
  <c r="A98" i="1"/>
  <c r="C98" i="1" s="1"/>
  <c r="B98" i="1"/>
  <c r="A99" i="1"/>
  <c r="C99" i="1" s="1"/>
  <c r="B99" i="1"/>
  <c r="A100" i="1"/>
  <c r="C100" i="1" s="1"/>
  <c r="D100" i="1" s="1"/>
  <c r="B100" i="1"/>
  <c r="A101" i="1"/>
  <c r="C101" i="1" s="1"/>
  <c r="D101" i="1" s="1"/>
  <c r="B101" i="1"/>
  <c r="A102" i="1"/>
  <c r="C102" i="1" s="1"/>
  <c r="B102" i="1"/>
  <c r="A103" i="1"/>
  <c r="C103" i="1" s="1"/>
  <c r="B103" i="1"/>
  <c r="A104" i="1"/>
  <c r="C104" i="1" s="1"/>
  <c r="D104" i="1" s="1"/>
  <c r="E104" i="1" s="1"/>
  <c r="B104" i="1"/>
  <c r="A105" i="1"/>
  <c r="C105" i="1" s="1"/>
  <c r="D105" i="1" s="1"/>
  <c r="E105" i="1" s="1"/>
  <c r="B105" i="1"/>
  <c r="A106" i="1"/>
  <c r="C106" i="1" s="1"/>
  <c r="B106" i="1"/>
  <c r="A107" i="1"/>
  <c r="C107" i="1" s="1"/>
  <c r="B107" i="1"/>
  <c r="A108" i="1"/>
  <c r="C108" i="1" s="1"/>
  <c r="D108" i="1" s="1"/>
  <c r="B108" i="1"/>
  <c r="A109" i="1"/>
  <c r="C109" i="1" s="1"/>
  <c r="D109" i="1" s="1"/>
  <c r="B109" i="1"/>
  <c r="A110" i="1"/>
  <c r="C110" i="1" s="1"/>
  <c r="B110" i="1"/>
  <c r="A111" i="1"/>
  <c r="C111" i="1" s="1"/>
  <c r="B111" i="1"/>
  <c r="A112" i="1"/>
  <c r="C112" i="1" s="1"/>
  <c r="B112" i="1"/>
  <c r="A113" i="1"/>
  <c r="C113" i="1" s="1"/>
  <c r="D113" i="1" s="1"/>
  <c r="E113" i="1" s="1"/>
  <c r="B113" i="1"/>
  <c r="A114" i="1"/>
  <c r="C114" i="1" s="1"/>
  <c r="B114" i="1"/>
  <c r="A115" i="1"/>
  <c r="C115" i="1" s="1"/>
  <c r="B115" i="1"/>
  <c r="A116" i="1"/>
  <c r="C116" i="1" s="1"/>
  <c r="D116" i="1" s="1"/>
  <c r="B116" i="1"/>
  <c r="A117" i="1"/>
  <c r="C117" i="1" s="1"/>
  <c r="B117" i="1"/>
  <c r="D117" i="1"/>
  <c r="A118" i="1"/>
  <c r="C118" i="1" s="1"/>
  <c r="B118" i="1"/>
  <c r="A119" i="1"/>
  <c r="C119" i="1" s="1"/>
  <c r="B119" i="1"/>
  <c r="A120" i="1"/>
  <c r="B120" i="1"/>
  <c r="C120" i="1"/>
  <c r="D120" i="1" s="1"/>
  <c r="A121" i="1"/>
  <c r="C121" i="1" s="1"/>
  <c r="D121" i="1" s="1"/>
  <c r="E121" i="1" s="1"/>
  <c r="B121" i="1"/>
  <c r="A122" i="1"/>
  <c r="C122" i="1" s="1"/>
  <c r="B122" i="1"/>
  <c r="A123" i="1"/>
  <c r="C123" i="1" s="1"/>
  <c r="D123" i="1" s="1"/>
  <c r="E123" i="1" s="1"/>
  <c r="B123" i="1"/>
  <c r="A124" i="1"/>
  <c r="C124" i="1" s="1"/>
  <c r="D124" i="1" s="1"/>
  <c r="E124" i="1" s="1"/>
  <c r="F124" i="1" s="1"/>
  <c r="B124" i="1"/>
  <c r="A125" i="1"/>
  <c r="C125" i="1" s="1"/>
  <c r="D125" i="1" s="1"/>
  <c r="B125" i="1"/>
  <c r="A126" i="1"/>
  <c r="B126" i="1"/>
  <c r="C126" i="1"/>
  <c r="A127" i="1"/>
  <c r="C127" i="1" s="1"/>
  <c r="B127" i="1"/>
  <c r="A128" i="1"/>
  <c r="C128" i="1" s="1"/>
  <c r="D128" i="1" s="1"/>
  <c r="B128" i="1"/>
  <c r="A129" i="1"/>
  <c r="C129" i="1" s="1"/>
  <c r="D129" i="1" s="1"/>
  <c r="E129" i="1" s="1"/>
  <c r="B129" i="1"/>
  <c r="A130" i="1"/>
  <c r="C130" i="1" s="1"/>
  <c r="B130" i="1"/>
  <c r="A131" i="1"/>
  <c r="C131" i="1" s="1"/>
  <c r="D131" i="1" s="1"/>
  <c r="B131" i="1"/>
  <c r="A132" i="1"/>
  <c r="C132" i="1" s="1"/>
  <c r="D132" i="1" s="1"/>
  <c r="B132" i="1"/>
  <c r="A133" i="1"/>
  <c r="C133" i="1" s="1"/>
  <c r="D133" i="1" s="1"/>
  <c r="B133" i="1"/>
  <c r="A134" i="1"/>
  <c r="C134" i="1" s="1"/>
  <c r="B134" i="1"/>
  <c r="A135" i="1"/>
  <c r="C135" i="1" s="1"/>
  <c r="B135" i="1"/>
  <c r="A136" i="1"/>
  <c r="C136" i="1" s="1"/>
  <c r="D136" i="1" s="1"/>
  <c r="E136" i="1" s="1"/>
  <c r="B136" i="1"/>
  <c r="A137" i="1"/>
  <c r="C137" i="1" s="1"/>
  <c r="D137" i="1" s="1"/>
  <c r="E137" i="1" s="1"/>
  <c r="B137" i="1"/>
  <c r="A138" i="1"/>
  <c r="B138" i="1"/>
  <c r="C138" i="1"/>
  <c r="A139" i="1"/>
  <c r="C139" i="1" s="1"/>
  <c r="D139" i="1" s="1"/>
  <c r="E139" i="1" s="1"/>
  <c r="B139" i="1"/>
  <c r="A140" i="1"/>
  <c r="C140" i="1" s="1"/>
  <c r="D140" i="1" s="1"/>
  <c r="B140" i="1"/>
  <c r="A141" i="1"/>
  <c r="C141" i="1" s="1"/>
  <c r="D141" i="1" s="1"/>
  <c r="B141" i="1"/>
  <c r="A142" i="1"/>
  <c r="C142" i="1" s="1"/>
  <c r="B142" i="1"/>
  <c r="A143" i="1"/>
  <c r="C143" i="1" s="1"/>
  <c r="B143" i="1"/>
  <c r="A144" i="1"/>
  <c r="C144" i="1" s="1"/>
  <c r="D144" i="1" s="1"/>
  <c r="E144" i="1" s="1"/>
  <c r="B144" i="1"/>
  <c r="A145" i="1"/>
  <c r="C145" i="1" s="1"/>
  <c r="D145" i="1" s="1"/>
  <c r="E145" i="1" s="1"/>
  <c r="B145" i="1"/>
  <c r="A146" i="1"/>
  <c r="B146" i="1"/>
  <c r="C146" i="1"/>
  <c r="A147" i="1"/>
  <c r="C147" i="1" s="1"/>
  <c r="B147" i="1"/>
  <c r="A148" i="1"/>
  <c r="C148" i="1" s="1"/>
  <c r="D148" i="1" s="1"/>
  <c r="B148" i="1"/>
  <c r="A149" i="1"/>
  <c r="C149" i="1" s="1"/>
  <c r="B149" i="1"/>
  <c r="D149" i="1"/>
  <c r="E149" i="1" s="1"/>
  <c r="A150" i="1"/>
  <c r="C150" i="1" s="1"/>
  <c r="B150" i="1"/>
  <c r="A151" i="1"/>
  <c r="C151" i="1" s="1"/>
  <c r="B151" i="1"/>
  <c r="A152" i="1"/>
  <c r="C152" i="1" s="1"/>
  <c r="D152" i="1" s="1"/>
  <c r="E152" i="1" s="1"/>
  <c r="B152" i="1"/>
  <c r="A153" i="1"/>
  <c r="C153" i="1" s="1"/>
  <c r="D153" i="1" s="1"/>
  <c r="E153" i="1" s="1"/>
  <c r="B153" i="1"/>
  <c r="A154" i="1"/>
  <c r="B154" i="1"/>
  <c r="C154" i="1"/>
  <c r="A155" i="1"/>
  <c r="B155" i="1"/>
  <c r="C155" i="1"/>
  <c r="D155" i="1" s="1"/>
  <c r="A156" i="1"/>
  <c r="C156" i="1" s="1"/>
  <c r="B156" i="1"/>
  <c r="A157" i="1"/>
  <c r="C157" i="1" s="1"/>
  <c r="B157" i="1"/>
  <c r="A158" i="1"/>
  <c r="C158" i="1" s="1"/>
  <c r="B158" i="1"/>
  <c r="A159" i="1"/>
  <c r="C159" i="1" s="1"/>
  <c r="B159" i="1"/>
  <c r="A160" i="1"/>
  <c r="C160" i="1" s="1"/>
  <c r="D160" i="1" s="1"/>
  <c r="B160" i="1"/>
  <c r="A161" i="1"/>
  <c r="C161" i="1" s="1"/>
  <c r="D161" i="1" s="1"/>
  <c r="B161" i="1"/>
  <c r="A162" i="1"/>
  <c r="C162" i="1" s="1"/>
  <c r="B162" i="1"/>
  <c r="A163" i="1"/>
  <c r="B163" i="1"/>
  <c r="C163" i="1"/>
  <c r="D163" i="1" s="1"/>
  <c r="A164" i="1"/>
  <c r="C164" i="1" s="1"/>
  <c r="B164" i="1"/>
  <c r="A165" i="1"/>
  <c r="C165" i="1" s="1"/>
  <c r="D165" i="1" s="1"/>
  <c r="E165" i="1" s="1"/>
  <c r="B165" i="1"/>
  <c r="A166" i="1"/>
  <c r="C166" i="1" s="1"/>
  <c r="B166" i="1"/>
  <c r="A167" i="1"/>
  <c r="C167" i="1" s="1"/>
  <c r="B167" i="1"/>
  <c r="A168" i="1"/>
  <c r="B168" i="1"/>
  <c r="C168" i="1"/>
  <c r="D168" i="1" s="1"/>
  <c r="E168" i="1" s="1"/>
  <c r="A169" i="1"/>
  <c r="C169" i="1" s="1"/>
  <c r="B169" i="1"/>
  <c r="D169" i="1"/>
  <c r="A170" i="1"/>
  <c r="C170" i="1" s="1"/>
  <c r="B170" i="1"/>
  <c r="A171" i="1"/>
  <c r="B171" i="1"/>
  <c r="C171" i="1"/>
  <c r="D171" i="1" s="1"/>
  <c r="A172" i="1"/>
  <c r="B172" i="1"/>
  <c r="C172" i="1"/>
  <c r="D172" i="1" s="1"/>
  <c r="E172" i="1" s="1"/>
  <c r="A173" i="1"/>
  <c r="C173" i="1" s="1"/>
  <c r="D173" i="1" s="1"/>
  <c r="E173" i="1" s="1"/>
  <c r="B173" i="1"/>
  <c r="A174" i="1"/>
  <c r="B174" i="1"/>
  <c r="C174" i="1"/>
  <c r="A175" i="1"/>
  <c r="B175" i="1"/>
  <c r="C175" i="1"/>
  <c r="A176" i="1"/>
  <c r="C176" i="1" s="1"/>
  <c r="D176" i="1" s="1"/>
  <c r="B176" i="1"/>
  <c r="A177" i="1"/>
  <c r="C177" i="1" s="1"/>
  <c r="D177" i="1" s="1"/>
  <c r="B177" i="1"/>
  <c r="A178" i="1"/>
  <c r="C178" i="1" s="1"/>
  <c r="B178" i="1"/>
  <c r="A179" i="1"/>
  <c r="C179" i="1" s="1"/>
  <c r="D179" i="1" s="1"/>
  <c r="E179" i="1" s="1"/>
  <c r="B179" i="1"/>
  <c r="A180" i="1"/>
  <c r="C180" i="1" s="1"/>
  <c r="D180" i="1" s="1"/>
  <c r="B180" i="1"/>
  <c r="A181" i="1"/>
  <c r="C181" i="1" s="1"/>
  <c r="D181" i="1" s="1"/>
  <c r="B181" i="1"/>
  <c r="E181" i="1"/>
  <c r="A182" i="1"/>
  <c r="C182" i="1" s="1"/>
  <c r="B182" i="1"/>
  <c r="A183" i="1"/>
  <c r="C183" i="1" s="1"/>
  <c r="B183" i="1"/>
  <c r="A184" i="1"/>
  <c r="C184" i="1" s="1"/>
  <c r="D184" i="1" s="1"/>
  <c r="B184" i="1"/>
  <c r="A185" i="1"/>
  <c r="C185" i="1" s="1"/>
  <c r="D185" i="1" s="1"/>
  <c r="E185" i="1" s="1"/>
  <c r="B185" i="1"/>
  <c r="A186" i="1"/>
  <c r="C186" i="1" s="1"/>
  <c r="B186" i="1"/>
  <c r="A187" i="1"/>
  <c r="C187" i="1" s="1"/>
  <c r="D187" i="1" s="1"/>
  <c r="B187" i="1"/>
  <c r="A188" i="1"/>
  <c r="B188" i="1"/>
  <c r="C188" i="1"/>
  <c r="D188" i="1" s="1"/>
  <c r="A189" i="1"/>
  <c r="C189" i="1" s="1"/>
  <c r="D189" i="1" s="1"/>
  <c r="F189" i="1" s="1"/>
  <c r="B189" i="1"/>
  <c r="A190" i="1"/>
  <c r="C190" i="1" s="1"/>
  <c r="B190" i="1"/>
  <c r="A191" i="1"/>
  <c r="C191" i="1" s="1"/>
  <c r="B191" i="1"/>
  <c r="A192" i="1"/>
  <c r="C192" i="1" s="1"/>
  <c r="D192" i="1" s="1"/>
  <c r="B192" i="1"/>
  <c r="A193" i="1"/>
  <c r="C193" i="1" s="1"/>
  <c r="D193" i="1" s="1"/>
  <c r="B193" i="1"/>
  <c r="A194" i="1"/>
  <c r="C194" i="1" s="1"/>
  <c r="B194" i="1"/>
  <c r="A195" i="1"/>
  <c r="C195" i="1" s="1"/>
  <c r="D195" i="1" s="1"/>
  <c r="B195" i="1"/>
  <c r="A196" i="1"/>
  <c r="C196" i="1" s="1"/>
  <c r="D196" i="1" s="1"/>
  <c r="B196" i="1"/>
  <c r="A197" i="1"/>
  <c r="C197" i="1" s="1"/>
  <c r="D197" i="1" s="1"/>
  <c r="E197" i="1" s="1"/>
  <c r="B197" i="1"/>
  <c r="A198" i="1"/>
  <c r="C198" i="1" s="1"/>
  <c r="D198" i="1" s="1"/>
  <c r="B198" i="1"/>
  <c r="A199" i="1"/>
  <c r="C199" i="1" s="1"/>
  <c r="D199" i="1" s="1"/>
  <c r="B199" i="1"/>
  <c r="A200" i="1"/>
  <c r="C200" i="1" s="1"/>
  <c r="D200" i="1" s="1"/>
  <c r="B200" i="1"/>
  <c r="A201" i="1"/>
  <c r="C201" i="1" s="1"/>
  <c r="B201" i="1"/>
  <c r="A202" i="1"/>
  <c r="C202" i="1" s="1"/>
  <c r="D202" i="1" s="1"/>
  <c r="B202" i="1"/>
  <c r="A203" i="1"/>
  <c r="C203" i="1" s="1"/>
  <c r="B203" i="1"/>
  <c r="A204" i="1"/>
  <c r="B204" i="1"/>
  <c r="C204" i="1"/>
  <c r="D204" i="1" s="1"/>
  <c r="A205" i="1"/>
  <c r="C205" i="1" s="1"/>
  <c r="D205" i="1" s="1"/>
  <c r="B205" i="1"/>
  <c r="A206" i="1"/>
  <c r="C206" i="1" s="1"/>
  <c r="B206" i="1"/>
  <c r="A207" i="1"/>
  <c r="C207" i="1" s="1"/>
  <c r="D207" i="1" s="1"/>
  <c r="B207" i="1"/>
  <c r="A208" i="1"/>
  <c r="C208" i="1" s="1"/>
  <c r="D208" i="1" s="1"/>
  <c r="B208" i="1"/>
  <c r="A209" i="1"/>
  <c r="C209" i="1" s="1"/>
  <c r="D209" i="1" s="1"/>
  <c r="B209" i="1"/>
  <c r="A210" i="1"/>
  <c r="C210" i="1" s="1"/>
  <c r="D210" i="1" s="1"/>
  <c r="B210" i="1"/>
  <c r="A211" i="1"/>
  <c r="C211" i="1" s="1"/>
  <c r="D211" i="1" s="1"/>
  <c r="B211" i="1"/>
  <c r="A212" i="1"/>
  <c r="C212" i="1" s="1"/>
  <c r="D212" i="1" s="1"/>
  <c r="B212" i="1"/>
  <c r="A213" i="1"/>
  <c r="C213" i="1" s="1"/>
  <c r="D213" i="1" s="1"/>
  <c r="B213" i="1"/>
  <c r="A214" i="1"/>
  <c r="C214" i="1" s="1"/>
  <c r="B214" i="1"/>
  <c r="A215" i="1"/>
  <c r="C215" i="1" s="1"/>
  <c r="B215" i="1"/>
  <c r="A216" i="1"/>
  <c r="C216" i="1" s="1"/>
  <c r="D216" i="1" s="1"/>
  <c r="B216" i="1"/>
  <c r="A217" i="1"/>
  <c r="C217" i="1" s="1"/>
  <c r="D217" i="1" s="1"/>
  <c r="F217" i="1" s="1"/>
  <c r="B217" i="1"/>
  <c r="A218" i="1"/>
  <c r="C218" i="1" s="1"/>
  <c r="D218" i="1" s="1"/>
  <c r="B218" i="1"/>
  <c r="A219" i="1"/>
  <c r="C219" i="1" s="1"/>
  <c r="B219" i="1"/>
  <c r="A220" i="1"/>
  <c r="C220" i="1" s="1"/>
  <c r="D220" i="1" s="1"/>
  <c r="B220" i="1"/>
  <c r="A221" i="1"/>
  <c r="C221" i="1" s="1"/>
  <c r="D221" i="1" s="1"/>
  <c r="B221" i="1"/>
  <c r="A222" i="1"/>
  <c r="C222" i="1" s="1"/>
  <c r="D222" i="1" s="1"/>
  <c r="B222" i="1"/>
  <c r="A223" i="1"/>
  <c r="C223" i="1" s="1"/>
  <c r="B223" i="1"/>
  <c r="A224" i="1"/>
  <c r="C224" i="1" s="1"/>
  <c r="B224" i="1"/>
  <c r="A225" i="1"/>
  <c r="C225" i="1" s="1"/>
  <c r="B225" i="1"/>
  <c r="A226" i="1"/>
  <c r="C226" i="1" s="1"/>
  <c r="B226" i="1"/>
  <c r="A227" i="1"/>
  <c r="C227" i="1" s="1"/>
  <c r="B227" i="1"/>
  <c r="A228" i="1"/>
  <c r="C228" i="1" s="1"/>
  <c r="B228" i="1"/>
  <c r="A229" i="1"/>
  <c r="B229" i="1"/>
  <c r="C229" i="1"/>
  <c r="D229" i="1" s="1"/>
  <c r="A230" i="1"/>
  <c r="C230" i="1" s="1"/>
  <c r="B230" i="1"/>
  <c r="A231" i="1"/>
  <c r="C231" i="1" s="1"/>
  <c r="B231" i="1"/>
  <c r="A232" i="1"/>
  <c r="C232" i="1" s="1"/>
  <c r="D232" i="1" s="1"/>
  <c r="B232" i="1"/>
  <c r="A233" i="1"/>
  <c r="C233" i="1" s="1"/>
  <c r="D233" i="1" s="1"/>
  <c r="B233" i="1"/>
  <c r="A234" i="1"/>
  <c r="C234" i="1" s="1"/>
  <c r="D234" i="1" s="1"/>
  <c r="B234" i="1"/>
  <c r="A235" i="1"/>
  <c r="C235" i="1" s="1"/>
  <c r="B235" i="1"/>
  <c r="A236" i="1"/>
  <c r="B236" i="1"/>
  <c r="C236" i="1"/>
  <c r="D236" i="1" s="1"/>
  <c r="A237" i="1"/>
  <c r="C237" i="1" s="1"/>
  <c r="B237" i="1"/>
  <c r="A238" i="1"/>
  <c r="C238" i="1" s="1"/>
  <c r="D238" i="1" s="1"/>
  <c r="B238" i="1"/>
  <c r="A239" i="1"/>
  <c r="C239" i="1" s="1"/>
  <c r="D239" i="1" s="1"/>
  <c r="B239" i="1"/>
  <c r="A240" i="1"/>
  <c r="C240" i="1" s="1"/>
  <c r="B240" i="1"/>
  <c r="A241" i="1"/>
  <c r="C241" i="1" s="1"/>
  <c r="B241" i="1"/>
  <c r="A242" i="1"/>
  <c r="C242" i="1" s="1"/>
  <c r="B242" i="1"/>
  <c r="A243" i="1"/>
  <c r="C243" i="1" s="1"/>
  <c r="B243" i="1"/>
  <c r="A244" i="1"/>
  <c r="C244" i="1" s="1"/>
  <c r="B244" i="1"/>
  <c r="A245" i="1"/>
  <c r="C245" i="1" s="1"/>
  <c r="D245" i="1" s="1"/>
  <c r="B245" i="1"/>
  <c r="A246" i="1"/>
  <c r="C246" i="1" s="1"/>
  <c r="B246" i="1"/>
  <c r="A247" i="1"/>
  <c r="C247" i="1" s="1"/>
  <c r="B247" i="1"/>
  <c r="A248" i="1"/>
  <c r="C248" i="1" s="1"/>
  <c r="D248" i="1" s="1"/>
  <c r="B248" i="1"/>
  <c r="A249" i="1"/>
  <c r="C249" i="1" s="1"/>
  <c r="D249" i="1" s="1"/>
  <c r="B249" i="1"/>
  <c r="A250" i="1"/>
  <c r="C250" i="1" s="1"/>
  <c r="D250" i="1" s="1"/>
  <c r="B250" i="1"/>
  <c r="A251" i="1"/>
  <c r="C251" i="1" s="1"/>
  <c r="D251" i="1" s="1"/>
  <c r="B251" i="1"/>
  <c r="A252" i="1"/>
  <c r="B252" i="1"/>
  <c r="C252" i="1"/>
  <c r="D252" i="1" s="1"/>
  <c r="A253" i="1"/>
  <c r="C253" i="1" s="1"/>
  <c r="B253" i="1"/>
  <c r="A254" i="1"/>
  <c r="C254" i="1" s="1"/>
  <c r="B254" i="1"/>
  <c r="A255" i="1"/>
  <c r="C255" i="1" s="1"/>
  <c r="B255" i="1"/>
  <c r="A256" i="1"/>
  <c r="B256" i="1"/>
  <c r="C256" i="1"/>
  <c r="D256" i="1" s="1"/>
  <c r="A257" i="1"/>
  <c r="C257" i="1" s="1"/>
  <c r="B257" i="1"/>
  <c r="A258" i="1"/>
  <c r="C258" i="1" s="1"/>
  <c r="B258" i="1"/>
  <c r="A259" i="1"/>
  <c r="C259" i="1" s="1"/>
  <c r="B259" i="1"/>
  <c r="A260" i="1"/>
  <c r="C260" i="1" s="1"/>
  <c r="D260" i="1" s="1"/>
  <c r="F260" i="1" s="1"/>
  <c r="B260" i="1"/>
  <c r="A261" i="1"/>
  <c r="C261" i="1" s="1"/>
  <c r="B261" i="1"/>
  <c r="A262" i="1"/>
  <c r="C262" i="1" s="1"/>
  <c r="B262" i="1"/>
  <c r="A263" i="1"/>
  <c r="C263" i="1" s="1"/>
  <c r="B263" i="1"/>
  <c r="A264" i="1"/>
  <c r="C264" i="1" s="1"/>
  <c r="D264" i="1" s="1"/>
  <c r="B264" i="1"/>
  <c r="A265" i="1"/>
  <c r="C265" i="1" s="1"/>
  <c r="B265" i="1"/>
  <c r="G25" i="1"/>
  <c r="G26" i="1"/>
  <c r="P26" i="1" s="1"/>
  <c r="G27" i="1"/>
  <c r="G28" i="1"/>
  <c r="P28" i="1" s="1"/>
  <c r="G29" i="1"/>
  <c r="P29" i="1" s="1"/>
  <c r="G30" i="1"/>
  <c r="P30" i="1" s="1"/>
  <c r="G31" i="1"/>
  <c r="P31" i="1" s="1"/>
  <c r="G32" i="1"/>
  <c r="P32" i="1" s="1"/>
  <c r="G33" i="1"/>
  <c r="G34" i="1"/>
  <c r="G35" i="1"/>
  <c r="P35" i="1" s="1"/>
  <c r="G36" i="1"/>
  <c r="P36" i="1" s="1"/>
  <c r="G37" i="1"/>
  <c r="P37" i="1" s="1"/>
  <c r="G38" i="1"/>
  <c r="P38" i="1" s="1"/>
  <c r="G39" i="1"/>
  <c r="P39" i="1" s="1"/>
  <c r="G40" i="1"/>
  <c r="P40" i="1" s="1"/>
  <c r="G41" i="1"/>
  <c r="G42" i="1"/>
  <c r="P42" i="1" s="1"/>
  <c r="G43" i="1"/>
  <c r="G44" i="1"/>
  <c r="P44" i="1" s="1"/>
  <c r="G45" i="1"/>
  <c r="P45" i="1" s="1"/>
  <c r="G46" i="1"/>
  <c r="P46" i="1" s="1"/>
  <c r="G47" i="1"/>
  <c r="P47" i="1" s="1"/>
  <c r="G48" i="1"/>
  <c r="G49" i="1"/>
  <c r="G50" i="1"/>
  <c r="G51" i="1"/>
  <c r="G52" i="1"/>
  <c r="P52" i="1" s="1"/>
  <c r="G53" i="1"/>
  <c r="P53" i="1" s="1"/>
  <c r="G54" i="1"/>
  <c r="P54" i="1" s="1"/>
  <c r="G55" i="1"/>
  <c r="P55" i="1" s="1"/>
  <c r="G56" i="1"/>
  <c r="P56" i="1" s="1"/>
  <c r="G57" i="1"/>
  <c r="G58" i="1"/>
  <c r="P58" i="1" s="1"/>
  <c r="G59" i="1"/>
  <c r="P59" i="1" s="1"/>
  <c r="G60" i="1"/>
  <c r="P60" i="1" s="1"/>
  <c r="G61" i="1"/>
  <c r="P61" i="1" s="1"/>
  <c r="G62" i="1"/>
  <c r="P62" i="1" s="1"/>
  <c r="G63" i="1"/>
  <c r="P63" i="1" s="1"/>
  <c r="G64" i="1"/>
  <c r="G65" i="1"/>
  <c r="G66" i="1"/>
  <c r="G67" i="1"/>
  <c r="P67" i="1" s="1"/>
  <c r="G68" i="1"/>
  <c r="P68" i="1" s="1"/>
  <c r="G69" i="1"/>
  <c r="P69" i="1" s="1"/>
  <c r="G70" i="1"/>
  <c r="P70" i="1" s="1"/>
  <c r="G71" i="1"/>
  <c r="P71" i="1" s="1"/>
  <c r="G72" i="1"/>
  <c r="G73" i="1"/>
  <c r="G74" i="1"/>
  <c r="P74" i="1" s="1"/>
  <c r="G75" i="1"/>
  <c r="P75" i="1" s="1"/>
  <c r="G76" i="1"/>
  <c r="P76" i="1" s="1"/>
  <c r="G77" i="1"/>
  <c r="P77" i="1" s="1"/>
  <c r="G78" i="1"/>
  <c r="P78" i="1" s="1"/>
  <c r="G79" i="1"/>
  <c r="P79" i="1" s="1"/>
  <c r="G80" i="1"/>
  <c r="P80" i="1" s="1"/>
  <c r="G81" i="1"/>
  <c r="G82" i="1"/>
  <c r="P82" i="1" s="1"/>
  <c r="G83" i="1"/>
  <c r="P83" i="1" s="1"/>
  <c r="G84" i="1"/>
  <c r="P84" i="1" s="1"/>
  <c r="G85" i="1"/>
  <c r="P85" i="1" s="1"/>
  <c r="G86" i="1"/>
  <c r="P86" i="1" s="1"/>
  <c r="G87" i="1"/>
  <c r="P87" i="1" s="1"/>
  <c r="G88" i="1"/>
  <c r="G89" i="1"/>
  <c r="G90" i="1"/>
  <c r="P90" i="1" s="1"/>
  <c r="G91" i="1"/>
  <c r="P91" i="1" s="1"/>
  <c r="G92" i="1"/>
  <c r="P92" i="1" s="1"/>
  <c r="G93" i="1"/>
  <c r="P93" i="1" s="1"/>
  <c r="G94" i="1"/>
  <c r="P94" i="1" s="1"/>
  <c r="G95" i="1"/>
  <c r="P95" i="1" s="1"/>
  <c r="G96" i="1"/>
  <c r="P96" i="1" s="1"/>
  <c r="G97" i="1"/>
  <c r="G98" i="1"/>
  <c r="G99" i="1"/>
  <c r="G100" i="1"/>
  <c r="G101" i="1"/>
  <c r="P101" i="1" s="1"/>
  <c r="G102" i="1"/>
  <c r="P102" i="1" s="1"/>
  <c r="G103" i="1"/>
  <c r="P103" i="1" s="1"/>
  <c r="G104" i="1"/>
  <c r="P104" i="1" s="1"/>
  <c r="G105" i="1"/>
  <c r="G106" i="1"/>
  <c r="P106" i="1" s="1"/>
  <c r="G107" i="1"/>
  <c r="P107" i="1" s="1"/>
  <c r="G108" i="1"/>
  <c r="P108" i="1" s="1"/>
  <c r="G109" i="1"/>
  <c r="P109" i="1" s="1"/>
  <c r="G110" i="1"/>
  <c r="P110" i="1" s="1"/>
  <c r="G111" i="1"/>
  <c r="P111" i="1" s="1"/>
  <c r="G112" i="1"/>
  <c r="P112" i="1" s="1"/>
  <c r="G113" i="1"/>
  <c r="G114" i="1"/>
  <c r="P114" i="1" s="1"/>
  <c r="G115" i="1"/>
  <c r="P115" i="1" s="1"/>
  <c r="G116" i="1"/>
  <c r="G117" i="1"/>
  <c r="P117" i="1" s="1"/>
  <c r="G118" i="1"/>
  <c r="P118" i="1" s="1"/>
  <c r="G119" i="1"/>
  <c r="P119" i="1" s="1"/>
  <c r="G120" i="1"/>
  <c r="G121" i="1"/>
  <c r="G122" i="1"/>
  <c r="P122" i="1" s="1"/>
  <c r="G123" i="1"/>
  <c r="G124" i="1"/>
  <c r="P124" i="1" s="1"/>
  <c r="G125" i="1"/>
  <c r="P125" i="1" s="1"/>
  <c r="G126" i="1"/>
  <c r="P126" i="1" s="1"/>
  <c r="G127" i="1"/>
  <c r="P127" i="1" s="1"/>
  <c r="G128" i="1"/>
  <c r="P128" i="1" s="1"/>
  <c r="G129" i="1"/>
  <c r="G130" i="1"/>
  <c r="G131" i="1"/>
  <c r="P131" i="1" s="1"/>
  <c r="G132" i="1"/>
  <c r="P132" i="1" s="1"/>
  <c r="G133" i="1"/>
  <c r="P133" i="1" s="1"/>
  <c r="G134" i="1"/>
  <c r="P134" i="1" s="1"/>
  <c r="G135" i="1"/>
  <c r="P135" i="1" s="1"/>
  <c r="G136" i="1"/>
  <c r="P136" i="1" s="1"/>
  <c r="G137" i="1"/>
  <c r="G138" i="1"/>
  <c r="P138" i="1" s="1"/>
  <c r="G139" i="1"/>
  <c r="P139" i="1" s="1"/>
  <c r="G140" i="1"/>
  <c r="P140" i="1" s="1"/>
  <c r="G141" i="1"/>
  <c r="P141" i="1" s="1"/>
  <c r="G142" i="1"/>
  <c r="P142" i="1" s="1"/>
  <c r="G143" i="1"/>
  <c r="P143" i="1" s="1"/>
  <c r="G144" i="1"/>
  <c r="P144" i="1" s="1"/>
  <c r="G145" i="1"/>
  <c r="G146" i="1"/>
  <c r="P146" i="1" s="1"/>
  <c r="G147" i="1"/>
  <c r="G148" i="1"/>
  <c r="G149" i="1"/>
  <c r="P149" i="1" s="1"/>
  <c r="G150" i="1"/>
  <c r="P150" i="1" s="1"/>
  <c r="G151" i="1"/>
  <c r="P151" i="1" s="1"/>
  <c r="G152" i="1"/>
  <c r="G153" i="1"/>
  <c r="G154" i="1"/>
  <c r="P154" i="1" s="1"/>
  <c r="G155" i="1"/>
  <c r="P155" i="1" s="1"/>
  <c r="G156" i="1"/>
  <c r="P156" i="1" s="1"/>
  <c r="G157" i="1"/>
  <c r="P157" i="1" s="1"/>
  <c r="G158" i="1"/>
  <c r="P158" i="1" s="1"/>
  <c r="G159" i="1"/>
  <c r="P159" i="1" s="1"/>
  <c r="G160" i="1"/>
  <c r="G161" i="1"/>
  <c r="G162" i="1"/>
  <c r="P162" i="1" s="1"/>
  <c r="G163" i="1"/>
  <c r="G164" i="1"/>
  <c r="G165" i="1"/>
  <c r="P165" i="1" s="1"/>
  <c r="G166" i="1"/>
  <c r="P166" i="1" s="1"/>
  <c r="G167" i="1"/>
  <c r="P167" i="1" s="1"/>
  <c r="G168" i="1"/>
  <c r="G169" i="1"/>
  <c r="G170" i="1"/>
  <c r="P170" i="1" s="1"/>
  <c r="G171" i="1"/>
  <c r="P171" i="1" s="1"/>
  <c r="G172" i="1"/>
  <c r="P172" i="1" s="1"/>
  <c r="G173" i="1"/>
  <c r="P173" i="1" s="1"/>
  <c r="G174" i="1"/>
  <c r="P174" i="1" s="1"/>
  <c r="G175" i="1"/>
  <c r="P175" i="1" s="1"/>
  <c r="G176" i="1"/>
  <c r="G177" i="1"/>
  <c r="G178" i="1"/>
  <c r="P178" i="1" s="1"/>
  <c r="G179" i="1"/>
  <c r="P179" i="1" s="1"/>
  <c r="G180" i="1"/>
  <c r="G181" i="1"/>
  <c r="P181" i="1" s="1"/>
  <c r="G182" i="1"/>
  <c r="P182" i="1" s="1"/>
  <c r="G183" i="1"/>
  <c r="P183" i="1" s="1"/>
  <c r="G184" i="1"/>
  <c r="G185" i="1"/>
  <c r="G186" i="1"/>
  <c r="P186" i="1" s="1"/>
  <c r="G187" i="1"/>
  <c r="P187" i="1" s="1"/>
  <c r="G188" i="1"/>
  <c r="P188" i="1" s="1"/>
  <c r="G189" i="1"/>
  <c r="P189" i="1" s="1"/>
  <c r="G190" i="1"/>
  <c r="P190" i="1" s="1"/>
  <c r="G191" i="1"/>
  <c r="P191" i="1" s="1"/>
  <c r="G192" i="1"/>
  <c r="G193" i="1"/>
  <c r="G194" i="1"/>
  <c r="G195" i="1"/>
  <c r="P195" i="1" s="1"/>
  <c r="G196" i="1"/>
  <c r="P196" i="1" s="1"/>
  <c r="G197" i="1"/>
  <c r="P197" i="1" s="1"/>
  <c r="G198" i="1"/>
  <c r="P198" i="1" s="1"/>
  <c r="G199" i="1"/>
  <c r="P199" i="1" s="1"/>
  <c r="G200" i="1"/>
  <c r="P200" i="1" s="1"/>
  <c r="G201" i="1"/>
  <c r="G202" i="1"/>
  <c r="P202" i="1" s="1"/>
  <c r="G203" i="1"/>
  <c r="P203" i="1" s="1"/>
  <c r="G204" i="1"/>
  <c r="P204" i="1" s="1"/>
  <c r="G205" i="1"/>
  <c r="P205" i="1" s="1"/>
  <c r="G206" i="1"/>
  <c r="P206" i="1" s="1"/>
  <c r="G207" i="1"/>
  <c r="P207" i="1" s="1"/>
  <c r="G208" i="1"/>
  <c r="P208" i="1" s="1"/>
  <c r="G209" i="1"/>
  <c r="G210" i="1"/>
  <c r="P210" i="1" s="1"/>
  <c r="G211" i="1"/>
  <c r="G212" i="1"/>
  <c r="G213" i="1"/>
  <c r="P213" i="1" s="1"/>
  <c r="G214" i="1"/>
  <c r="P214" i="1" s="1"/>
  <c r="G215" i="1"/>
  <c r="P215" i="1" s="1"/>
  <c r="G216" i="1"/>
  <c r="P216" i="1" s="1"/>
  <c r="G217" i="1"/>
  <c r="G218" i="1"/>
  <c r="P218" i="1" s="1"/>
  <c r="G219" i="1"/>
  <c r="G220" i="1"/>
  <c r="P220" i="1" s="1"/>
  <c r="G221" i="1"/>
  <c r="P221" i="1" s="1"/>
  <c r="G222" i="1"/>
  <c r="P222" i="1" s="1"/>
  <c r="G223" i="1"/>
  <c r="P223" i="1" s="1"/>
  <c r="G224" i="1"/>
  <c r="G225" i="1"/>
  <c r="G226" i="1"/>
  <c r="P226" i="1" s="1"/>
  <c r="G227" i="1"/>
  <c r="P227" i="1" s="1"/>
  <c r="G228" i="1"/>
  <c r="P228" i="1" s="1"/>
  <c r="G229" i="1"/>
  <c r="P229" i="1" s="1"/>
  <c r="G230" i="1"/>
  <c r="P230" i="1" s="1"/>
  <c r="G231" i="1"/>
  <c r="P231" i="1" s="1"/>
  <c r="G232" i="1"/>
  <c r="P232" i="1" s="1"/>
  <c r="G233" i="1"/>
  <c r="G234" i="1"/>
  <c r="P234" i="1" s="1"/>
  <c r="G235" i="1"/>
  <c r="G236" i="1"/>
  <c r="P236" i="1" s="1"/>
  <c r="G237" i="1"/>
  <c r="P237" i="1" s="1"/>
  <c r="G238" i="1"/>
  <c r="P238" i="1" s="1"/>
  <c r="G239" i="1"/>
  <c r="P239" i="1" s="1"/>
  <c r="G240" i="1"/>
  <c r="P240" i="1" s="1"/>
  <c r="G241" i="1"/>
  <c r="G242" i="1"/>
  <c r="P242" i="1" s="1"/>
  <c r="G243" i="1"/>
  <c r="P243" i="1" s="1"/>
  <c r="G244" i="1"/>
  <c r="P244" i="1" s="1"/>
  <c r="G245" i="1"/>
  <c r="P245" i="1" s="1"/>
  <c r="G246" i="1"/>
  <c r="P246" i="1" s="1"/>
  <c r="G247" i="1"/>
  <c r="P247" i="1" s="1"/>
  <c r="G248" i="1"/>
  <c r="P248" i="1" s="1"/>
  <c r="G249" i="1"/>
  <c r="G250" i="1"/>
  <c r="P250" i="1" s="1"/>
  <c r="G251" i="1"/>
  <c r="P251" i="1" s="1"/>
  <c r="G252" i="1"/>
  <c r="P252" i="1" s="1"/>
  <c r="G253" i="1"/>
  <c r="P253" i="1" s="1"/>
  <c r="G254" i="1"/>
  <c r="P254" i="1" s="1"/>
  <c r="G255" i="1"/>
  <c r="P255" i="1" s="1"/>
  <c r="G256" i="1"/>
  <c r="P256" i="1" s="1"/>
  <c r="G257" i="1"/>
  <c r="G258" i="1"/>
  <c r="P258" i="1" s="1"/>
  <c r="G259" i="1"/>
  <c r="G260" i="1"/>
  <c r="P260" i="1" s="1"/>
  <c r="G261" i="1"/>
  <c r="P261" i="1" s="1"/>
  <c r="G262" i="1"/>
  <c r="P262" i="1" s="1"/>
  <c r="G263" i="1"/>
  <c r="P263" i="1" s="1"/>
  <c r="G264" i="1"/>
  <c r="P264" i="1" s="1"/>
  <c r="G265" i="1"/>
  <c r="P25" i="1"/>
  <c r="P27" i="1"/>
  <c r="P33" i="1"/>
  <c r="P34" i="1"/>
  <c r="P41" i="1"/>
  <c r="P43" i="1"/>
  <c r="P48" i="1"/>
  <c r="P49" i="1"/>
  <c r="P50" i="1"/>
  <c r="P51" i="1"/>
  <c r="P57" i="1"/>
  <c r="P64" i="1"/>
  <c r="P65" i="1"/>
  <c r="P66" i="1"/>
  <c r="P72" i="1"/>
  <c r="P73" i="1"/>
  <c r="P81" i="1"/>
  <c r="P88" i="1"/>
  <c r="P89" i="1"/>
  <c r="P97" i="1"/>
  <c r="P98" i="1"/>
  <c r="P99" i="1"/>
  <c r="P100" i="1"/>
  <c r="P105" i="1"/>
  <c r="P113" i="1"/>
  <c r="P116" i="1"/>
  <c r="P120" i="1"/>
  <c r="P121" i="1"/>
  <c r="P123" i="1"/>
  <c r="P129" i="1"/>
  <c r="P130" i="1"/>
  <c r="P137" i="1"/>
  <c r="P145" i="1"/>
  <c r="P147" i="1"/>
  <c r="P148" i="1"/>
  <c r="P152" i="1"/>
  <c r="P153" i="1"/>
  <c r="P160" i="1"/>
  <c r="P161" i="1"/>
  <c r="P163" i="1"/>
  <c r="P164" i="1"/>
  <c r="P168" i="1"/>
  <c r="P169" i="1"/>
  <c r="P176" i="1"/>
  <c r="P177" i="1"/>
  <c r="P180" i="1"/>
  <c r="P184" i="1"/>
  <c r="P185" i="1"/>
  <c r="P192" i="1"/>
  <c r="P193" i="1"/>
  <c r="P194" i="1"/>
  <c r="P201" i="1"/>
  <c r="P209" i="1"/>
  <c r="P211" i="1"/>
  <c r="P212" i="1"/>
  <c r="P217" i="1"/>
  <c r="P219" i="1"/>
  <c r="P224" i="1"/>
  <c r="P225" i="1"/>
  <c r="P233" i="1"/>
  <c r="P235" i="1"/>
  <c r="P241" i="1"/>
  <c r="P249" i="1"/>
  <c r="P257" i="1"/>
  <c r="P259" i="1"/>
  <c r="P265" i="1"/>
  <c r="G12" i="1"/>
  <c r="P12" i="1" s="1"/>
  <c r="G13" i="1"/>
  <c r="P13" i="1" s="1"/>
  <c r="G14" i="1"/>
  <c r="P14" i="1" s="1"/>
  <c r="G15" i="1"/>
  <c r="P15" i="1" s="1"/>
  <c r="G16" i="1"/>
  <c r="P16" i="1" s="1"/>
  <c r="G17" i="1"/>
  <c r="P17" i="1" s="1"/>
  <c r="G18" i="1"/>
  <c r="P18" i="1" s="1"/>
  <c r="G19" i="1"/>
  <c r="P19" i="1" s="1"/>
  <c r="G20" i="1"/>
  <c r="P20" i="1" s="1"/>
  <c r="G21" i="1"/>
  <c r="P21" i="1" s="1"/>
  <c r="G22" i="1"/>
  <c r="P22" i="1" s="1"/>
  <c r="G23" i="1"/>
  <c r="P23" i="1" s="1"/>
  <c r="G24" i="1"/>
  <c r="P24" i="1" s="1"/>
  <c r="G11" i="1"/>
  <c r="P11" i="1" s="1"/>
  <c r="AA11" i="1"/>
  <c r="U11" i="1" s="1"/>
  <c r="A12" i="1"/>
  <c r="C12" i="1" s="1"/>
  <c r="B12" i="1"/>
  <c r="A13" i="1"/>
  <c r="C13" i="1" s="1"/>
  <c r="D13" i="1" s="1"/>
  <c r="B13" i="1"/>
  <c r="A14" i="1"/>
  <c r="C14" i="1" s="1"/>
  <c r="D14" i="1" s="1"/>
  <c r="B14" i="1"/>
  <c r="A15" i="1"/>
  <c r="C15" i="1" s="1"/>
  <c r="B15" i="1"/>
  <c r="A16" i="1"/>
  <c r="C16" i="1" s="1"/>
  <c r="B16" i="1"/>
  <c r="A17" i="1"/>
  <c r="C17" i="1" s="1"/>
  <c r="B17" i="1"/>
  <c r="A18" i="1"/>
  <c r="C18" i="1" s="1"/>
  <c r="D18" i="1" s="1"/>
  <c r="B18" i="1"/>
  <c r="A19" i="1"/>
  <c r="C19" i="1" s="1"/>
  <c r="D19" i="1" s="1"/>
  <c r="E19" i="1" s="1"/>
  <c r="B19" i="1"/>
  <c r="A20" i="1"/>
  <c r="C20" i="1" s="1"/>
  <c r="B20" i="1"/>
  <c r="A21" i="1"/>
  <c r="C21" i="1" s="1"/>
  <c r="D21" i="1" s="1"/>
  <c r="B21" i="1"/>
  <c r="A22" i="1"/>
  <c r="C22" i="1" s="1"/>
  <c r="D22" i="1" s="1"/>
  <c r="B22" i="1"/>
  <c r="A23" i="1"/>
  <c r="C23" i="1" s="1"/>
  <c r="B23" i="1"/>
  <c r="A24" i="1"/>
  <c r="C24" i="1" s="1"/>
  <c r="B24" i="1"/>
  <c r="B11" i="1"/>
  <c r="A11" i="1"/>
  <c r="C11" i="1" s="1"/>
  <c r="D11" i="1" s="1"/>
  <c r="E11" i="1" s="1"/>
  <c r="W34" i="1"/>
  <c r="X34" i="1" s="1"/>
  <c r="Z34" i="1"/>
  <c r="W35" i="1"/>
  <c r="X35" i="1" s="1"/>
  <c r="Z35" i="1"/>
  <c r="W36" i="1"/>
  <c r="X36" i="1" s="1"/>
  <c r="Z36" i="1"/>
  <c r="W37" i="1"/>
  <c r="N37" i="1" s="1"/>
  <c r="Z37" i="1"/>
  <c r="W38" i="1"/>
  <c r="X38" i="1" s="1"/>
  <c r="Z38" i="1"/>
  <c r="W39" i="1"/>
  <c r="Y39" i="1" s="1"/>
  <c r="Z39" i="1"/>
  <c r="W40" i="1"/>
  <c r="Y40" i="1" s="1"/>
  <c r="Z40" i="1"/>
  <c r="W41" i="1"/>
  <c r="X41" i="1" s="1"/>
  <c r="Z41" i="1"/>
  <c r="W42" i="1"/>
  <c r="X42" i="1" s="1"/>
  <c r="Z42" i="1"/>
  <c r="W43" i="1"/>
  <c r="Y43" i="1" s="1"/>
  <c r="Z43" i="1"/>
  <c r="W44" i="1"/>
  <c r="X44" i="1" s="1"/>
  <c r="Z44" i="1"/>
  <c r="W45" i="1"/>
  <c r="N45" i="1" s="1"/>
  <c r="Z45" i="1"/>
  <c r="W46" i="1"/>
  <c r="Y46" i="1" s="1"/>
  <c r="Z46" i="1"/>
  <c r="W47" i="1"/>
  <c r="X47" i="1" s="1"/>
  <c r="Z47" i="1"/>
  <c r="W48" i="1"/>
  <c r="Y48" i="1" s="1"/>
  <c r="Z48" i="1"/>
  <c r="W49" i="1"/>
  <c r="X49" i="1" s="1"/>
  <c r="Z49" i="1"/>
  <c r="W50" i="1"/>
  <c r="X50" i="1" s="1"/>
  <c r="Z50" i="1"/>
  <c r="W51" i="1"/>
  <c r="X51" i="1" s="1"/>
  <c r="Z51" i="1"/>
  <c r="W52" i="1"/>
  <c r="X52" i="1" s="1"/>
  <c r="Z52" i="1"/>
  <c r="W53" i="1"/>
  <c r="N53" i="1" s="1"/>
  <c r="Z53" i="1"/>
  <c r="W54" i="1"/>
  <c r="X54" i="1" s="1"/>
  <c r="Z54" i="1"/>
  <c r="W55" i="1"/>
  <c r="X55" i="1" s="1"/>
  <c r="Z55" i="1"/>
  <c r="W56" i="1"/>
  <c r="Y56" i="1" s="1"/>
  <c r="Z56" i="1"/>
  <c r="W57" i="1"/>
  <c r="X57" i="1" s="1"/>
  <c r="Z57" i="1"/>
  <c r="W58" i="1"/>
  <c r="X58" i="1" s="1"/>
  <c r="Z58" i="1"/>
  <c r="W59" i="1"/>
  <c r="X59" i="1" s="1"/>
  <c r="Z59" i="1"/>
  <c r="W60" i="1"/>
  <c r="X60" i="1" s="1"/>
  <c r="Z60" i="1"/>
  <c r="W61" i="1"/>
  <c r="N61" i="1" s="1"/>
  <c r="Z61" i="1"/>
  <c r="W62" i="1"/>
  <c r="X62" i="1" s="1"/>
  <c r="Z62" i="1"/>
  <c r="W63" i="1"/>
  <c r="Y63" i="1" s="1"/>
  <c r="Z63" i="1"/>
  <c r="W64" i="1"/>
  <c r="Y64" i="1" s="1"/>
  <c r="Z64" i="1"/>
  <c r="W65" i="1"/>
  <c r="X65" i="1" s="1"/>
  <c r="Z65" i="1"/>
  <c r="W66" i="1"/>
  <c r="X66" i="1" s="1"/>
  <c r="Z66" i="1"/>
  <c r="W67" i="1"/>
  <c r="X67" i="1" s="1"/>
  <c r="Z67" i="1"/>
  <c r="W68" i="1"/>
  <c r="X68" i="1" s="1"/>
  <c r="Z68" i="1"/>
  <c r="W69" i="1"/>
  <c r="Q69" i="1" s="1"/>
  <c r="Z69" i="1"/>
  <c r="W70" i="1"/>
  <c r="X70" i="1" s="1"/>
  <c r="Z70" i="1"/>
  <c r="W71" i="1"/>
  <c r="X71" i="1" s="1"/>
  <c r="Z71" i="1"/>
  <c r="W72" i="1"/>
  <c r="Y72" i="1" s="1"/>
  <c r="Z72" i="1"/>
  <c r="W73" i="1"/>
  <c r="X73" i="1" s="1"/>
  <c r="Z73" i="1"/>
  <c r="W74" i="1"/>
  <c r="X74" i="1" s="1"/>
  <c r="Z74" i="1"/>
  <c r="W75" i="1"/>
  <c r="Y75" i="1" s="1"/>
  <c r="Z75" i="1"/>
  <c r="W76" i="1"/>
  <c r="X76" i="1" s="1"/>
  <c r="Z76" i="1"/>
  <c r="W77" i="1"/>
  <c r="Q77" i="1" s="1"/>
  <c r="Z77" i="1"/>
  <c r="W78" i="1"/>
  <c r="Y78" i="1" s="1"/>
  <c r="Z78" i="1"/>
  <c r="W79" i="1"/>
  <c r="X79" i="1" s="1"/>
  <c r="Z79" i="1"/>
  <c r="W80" i="1"/>
  <c r="Y80" i="1" s="1"/>
  <c r="Z80" i="1"/>
  <c r="W81" i="1"/>
  <c r="X81" i="1" s="1"/>
  <c r="Z81" i="1"/>
  <c r="W82" i="1"/>
  <c r="X82" i="1" s="1"/>
  <c r="Z82" i="1"/>
  <c r="W83" i="1"/>
  <c r="X83" i="1" s="1"/>
  <c r="Z83" i="1"/>
  <c r="W84" i="1"/>
  <c r="X84" i="1" s="1"/>
  <c r="Z84" i="1"/>
  <c r="W85" i="1"/>
  <c r="N85" i="1" s="1"/>
  <c r="Z85" i="1"/>
  <c r="W86" i="1"/>
  <c r="X86" i="1" s="1"/>
  <c r="Z86" i="1"/>
  <c r="W87" i="1"/>
  <c r="Y87" i="1" s="1"/>
  <c r="Z87" i="1"/>
  <c r="W88" i="1"/>
  <c r="Y88" i="1" s="1"/>
  <c r="Z88" i="1"/>
  <c r="W89" i="1"/>
  <c r="X89" i="1" s="1"/>
  <c r="Z89" i="1"/>
  <c r="W90" i="1"/>
  <c r="X90" i="1" s="1"/>
  <c r="Z90" i="1"/>
  <c r="W91" i="1"/>
  <c r="X91" i="1" s="1"/>
  <c r="Z91" i="1"/>
  <c r="W92" i="1"/>
  <c r="X92" i="1" s="1"/>
  <c r="Z92" i="1"/>
  <c r="W93" i="1"/>
  <c r="N93" i="1" s="1"/>
  <c r="Z93" i="1"/>
  <c r="W94" i="1"/>
  <c r="X94" i="1" s="1"/>
  <c r="Z94" i="1"/>
  <c r="W95" i="1"/>
  <c r="X95" i="1" s="1"/>
  <c r="Z95" i="1"/>
  <c r="W96" i="1"/>
  <c r="Y96" i="1" s="1"/>
  <c r="Z96" i="1"/>
  <c r="W97" i="1"/>
  <c r="X97" i="1" s="1"/>
  <c r="Z97" i="1"/>
  <c r="W98" i="1"/>
  <c r="X98" i="1" s="1"/>
  <c r="Z98" i="1"/>
  <c r="W99" i="1"/>
  <c r="Y99" i="1" s="1"/>
  <c r="Z99" i="1"/>
  <c r="W100" i="1"/>
  <c r="X100" i="1" s="1"/>
  <c r="Z100" i="1"/>
  <c r="W101" i="1"/>
  <c r="Q101" i="1" s="1"/>
  <c r="Z101" i="1"/>
  <c r="W102" i="1"/>
  <c r="Y102" i="1" s="1"/>
  <c r="Z102" i="1"/>
  <c r="W103" i="1"/>
  <c r="X103" i="1" s="1"/>
  <c r="Z103" i="1"/>
  <c r="W104" i="1"/>
  <c r="Y104" i="1" s="1"/>
  <c r="Z104" i="1"/>
  <c r="W105" i="1"/>
  <c r="X105" i="1" s="1"/>
  <c r="Z105" i="1"/>
  <c r="W106" i="1"/>
  <c r="X106" i="1" s="1"/>
  <c r="Z106" i="1"/>
  <c r="W107" i="1"/>
  <c r="X107" i="1" s="1"/>
  <c r="Z107" i="1"/>
  <c r="W108" i="1"/>
  <c r="X108" i="1" s="1"/>
  <c r="Z108" i="1"/>
  <c r="W109" i="1"/>
  <c r="Q109" i="1" s="1"/>
  <c r="Z109" i="1"/>
  <c r="W110" i="1"/>
  <c r="X110" i="1" s="1"/>
  <c r="Z110" i="1"/>
  <c r="W111" i="1"/>
  <c r="X111" i="1" s="1"/>
  <c r="Z111" i="1"/>
  <c r="W112" i="1"/>
  <c r="Y112" i="1" s="1"/>
  <c r="Z112" i="1"/>
  <c r="W113" i="1"/>
  <c r="X113" i="1" s="1"/>
  <c r="Z113" i="1"/>
  <c r="W114" i="1"/>
  <c r="X114" i="1" s="1"/>
  <c r="Z114" i="1"/>
  <c r="W115" i="1"/>
  <c r="X115" i="1" s="1"/>
  <c r="Z115" i="1"/>
  <c r="W116" i="1"/>
  <c r="X116" i="1" s="1"/>
  <c r="Z116" i="1"/>
  <c r="W117" i="1"/>
  <c r="N117" i="1" s="1"/>
  <c r="Z117" i="1"/>
  <c r="W118" i="1"/>
  <c r="X118" i="1" s="1"/>
  <c r="Z118" i="1"/>
  <c r="W119" i="1"/>
  <c r="Y119" i="1" s="1"/>
  <c r="Z119" i="1"/>
  <c r="W120" i="1"/>
  <c r="Y120" i="1" s="1"/>
  <c r="Z120" i="1"/>
  <c r="W121" i="1"/>
  <c r="X121" i="1" s="1"/>
  <c r="Z121" i="1"/>
  <c r="W122" i="1"/>
  <c r="X122" i="1" s="1"/>
  <c r="Z122" i="1"/>
  <c r="W123" i="1"/>
  <c r="X123" i="1" s="1"/>
  <c r="Z123" i="1"/>
  <c r="W124" i="1"/>
  <c r="X124" i="1" s="1"/>
  <c r="Z124" i="1"/>
  <c r="W125" i="1"/>
  <c r="N125" i="1" s="1"/>
  <c r="Z125" i="1"/>
  <c r="W126" i="1"/>
  <c r="X126" i="1" s="1"/>
  <c r="Z126" i="1"/>
  <c r="W127" i="1"/>
  <c r="X127" i="1" s="1"/>
  <c r="Z127" i="1"/>
  <c r="W128" i="1"/>
  <c r="Y128" i="1" s="1"/>
  <c r="Z128" i="1"/>
  <c r="W129" i="1"/>
  <c r="X129" i="1" s="1"/>
  <c r="Z129" i="1"/>
  <c r="W130" i="1"/>
  <c r="X130" i="1" s="1"/>
  <c r="Z130" i="1"/>
  <c r="W131" i="1"/>
  <c r="Y131" i="1" s="1"/>
  <c r="Z131" i="1"/>
  <c r="W132" i="1"/>
  <c r="X132" i="1" s="1"/>
  <c r="Z132" i="1"/>
  <c r="W133" i="1"/>
  <c r="Q133" i="1" s="1"/>
  <c r="Z133" i="1"/>
  <c r="W134" i="1"/>
  <c r="Y134" i="1" s="1"/>
  <c r="Z134" i="1"/>
  <c r="O134" i="1" s="1"/>
  <c r="W135" i="1"/>
  <c r="Y135" i="1" s="1"/>
  <c r="Z135" i="1"/>
  <c r="W136" i="1"/>
  <c r="Y136" i="1" s="1"/>
  <c r="Z136" i="1"/>
  <c r="W137" i="1"/>
  <c r="X137" i="1" s="1"/>
  <c r="Z137" i="1"/>
  <c r="W138" i="1"/>
  <c r="X138" i="1" s="1"/>
  <c r="Z138" i="1"/>
  <c r="W139" i="1"/>
  <c r="X139" i="1" s="1"/>
  <c r="Z139" i="1"/>
  <c r="W140" i="1"/>
  <c r="X140" i="1" s="1"/>
  <c r="Z140" i="1"/>
  <c r="W141" i="1"/>
  <c r="Q141" i="1" s="1"/>
  <c r="Z141" i="1"/>
  <c r="W142" i="1"/>
  <c r="X142" i="1" s="1"/>
  <c r="Z142" i="1"/>
  <c r="W143" i="1"/>
  <c r="X143" i="1" s="1"/>
  <c r="Z143" i="1"/>
  <c r="W144" i="1"/>
  <c r="Y144" i="1" s="1"/>
  <c r="Z144" i="1"/>
  <c r="W145" i="1"/>
  <c r="X145" i="1" s="1"/>
  <c r="Z145" i="1"/>
  <c r="W146" i="1"/>
  <c r="X146" i="1" s="1"/>
  <c r="Z146" i="1"/>
  <c r="W147" i="1"/>
  <c r="Y147" i="1" s="1"/>
  <c r="Z147" i="1"/>
  <c r="W148" i="1"/>
  <c r="X148" i="1" s="1"/>
  <c r="Z148" i="1"/>
  <c r="W149" i="1"/>
  <c r="N149" i="1" s="1"/>
  <c r="Z149" i="1"/>
  <c r="W150" i="1"/>
  <c r="Y150" i="1" s="1"/>
  <c r="Z150" i="1"/>
  <c r="W151" i="1"/>
  <c r="Y151" i="1" s="1"/>
  <c r="Z151" i="1"/>
  <c r="W152" i="1"/>
  <c r="Y152" i="1" s="1"/>
  <c r="Z152" i="1"/>
  <c r="W153" i="1"/>
  <c r="X153" i="1" s="1"/>
  <c r="Z153" i="1"/>
  <c r="W154" i="1"/>
  <c r="X154" i="1" s="1"/>
  <c r="Z154" i="1"/>
  <c r="W155" i="1"/>
  <c r="Y155" i="1" s="1"/>
  <c r="Z155" i="1"/>
  <c r="W156" i="1"/>
  <c r="X156" i="1" s="1"/>
  <c r="Z156" i="1"/>
  <c r="W157" i="1"/>
  <c r="N157" i="1" s="1"/>
  <c r="Z157" i="1"/>
  <c r="W158" i="1"/>
  <c r="Y158" i="1" s="1"/>
  <c r="Z158" i="1"/>
  <c r="W159" i="1"/>
  <c r="X159" i="1" s="1"/>
  <c r="Z159" i="1"/>
  <c r="W160" i="1"/>
  <c r="Y160" i="1" s="1"/>
  <c r="Z160" i="1"/>
  <c r="W161" i="1"/>
  <c r="X161" i="1" s="1"/>
  <c r="Z161" i="1"/>
  <c r="W162" i="1"/>
  <c r="X162" i="1" s="1"/>
  <c r="Z162" i="1"/>
  <c r="W163" i="1"/>
  <c r="X163" i="1" s="1"/>
  <c r="Z163" i="1"/>
  <c r="W164" i="1"/>
  <c r="X164" i="1" s="1"/>
  <c r="Z164" i="1"/>
  <c r="W165" i="1"/>
  <c r="Q165" i="1" s="1"/>
  <c r="Z165" i="1"/>
  <c r="W166" i="1"/>
  <c r="X166" i="1" s="1"/>
  <c r="Z166" i="1"/>
  <c r="W167" i="1"/>
  <c r="X167" i="1" s="1"/>
  <c r="Z167" i="1"/>
  <c r="W168" i="1"/>
  <c r="Y168" i="1" s="1"/>
  <c r="Z168" i="1"/>
  <c r="W169" i="1"/>
  <c r="X169" i="1" s="1"/>
  <c r="Z169" i="1"/>
  <c r="W170" i="1"/>
  <c r="X170" i="1" s="1"/>
  <c r="Z170" i="1"/>
  <c r="W171" i="1"/>
  <c r="Y171" i="1" s="1"/>
  <c r="Z171" i="1"/>
  <c r="W172" i="1"/>
  <c r="X172" i="1" s="1"/>
  <c r="Z172" i="1"/>
  <c r="W173" i="1"/>
  <c r="Q173" i="1" s="1"/>
  <c r="Z173" i="1"/>
  <c r="W174" i="1"/>
  <c r="Y174" i="1" s="1"/>
  <c r="Z174" i="1"/>
  <c r="W175" i="1"/>
  <c r="X175" i="1" s="1"/>
  <c r="Z175" i="1"/>
  <c r="W176" i="1"/>
  <c r="Y176" i="1" s="1"/>
  <c r="Z176" i="1"/>
  <c r="W177" i="1"/>
  <c r="X177" i="1" s="1"/>
  <c r="Z177" i="1"/>
  <c r="W178" i="1"/>
  <c r="X178" i="1" s="1"/>
  <c r="Z178" i="1"/>
  <c r="W179" i="1"/>
  <c r="Y179" i="1" s="1"/>
  <c r="Z179" i="1"/>
  <c r="W180" i="1"/>
  <c r="X180" i="1" s="1"/>
  <c r="Z180" i="1"/>
  <c r="W181" i="1"/>
  <c r="N181" i="1" s="1"/>
  <c r="Z181" i="1"/>
  <c r="W182" i="1"/>
  <c r="Y182" i="1" s="1"/>
  <c r="Z182" i="1"/>
  <c r="O182" i="1" s="1"/>
  <c r="W183" i="1"/>
  <c r="X183" i="1" s="1"/>
  <c r="Z183" i="1"/>
  <c r="W184" i="1"/>
  <c r="Y184" i="1" s="1"/>
  <c r="Z184" i="1"/>
  <c r="W185" i="1"/>
  <c r="X185" i="1" s="1"/>
  <c r="Z185" i="1"/>
  <c r="W186" i="1"/>
  <c r="Y186" i="1" s="1"/>
  <c r="Z186" i="1"/>
  <c r="O186" i="1" s="1"/>
  <c r="W187" i="1"/>
  <c r="X187" i="1" s="1"/>
  <c r="Z187" i="1"/>
  <c r="W188" i="1"/>
  <c r="Q188" i="1" s="1"/>
  <c r="Z188" i="1"/>
  <c r="W189" i="1"/>
  <c r="N189" i="1" s="1"/>
  <c r="Z189" i="1"/>
  <c r="W190" i="1"/>
  <c r="X190" i="1" s="1"/>
  <c r="Z190" i="1"/>
  <c r="W191" i="1"/>
  <c r="Y191" i="1" s="1"/>
  <c r="Z191" i="1"/>
  <c r="W192" i="1"/>
  <c r="Y192" i="1" s="1"/>
  <c r="Z192" i="1"/>
  <c r="W193" i="1"/>
  <c r="X193" i="1" s="1"/>
  <c r="Z193" i="1"/>
  <c r="W194" i="1"/>
  <c r="Y194" i="1" s="1"/>
  <c r="Z194" i="1"/>
  <c r="W195" i="1"/>
  <c r="X195" i="1" s="1"/>
  <c r="Z195" i="1"/>
  <c r="W196" i="1"/>
  <c r="N196" i="1" s="1"/>
  <c r="Z196" i="1"/>
  <c r="W197" i="1"/>
  <c r="Q197" i="1" s="1"/>
  <c r="Z197" i="1"/>
  <c r="W198" i="1"/>
  <c r="X198" i="1" s="1"/>
  <c r="Z198" i="1"/>
  <c r="W199" i="1"/>
  <c r="Y199" i="1" s="1"/>
  <c r="Z199" i="1"/>
  <c r="W200" i="1"/>
  <c r="Y200" i="1" s="1"/>
  <c r="Z200" i="1"/>
  <c r="W201" i="1"/>
  <c r="X201" i="1" s="1"/>
  <c r="Z201" i="1"/>
  <c r="W202" i="1"/>
  <c r="Y202" i="1" s="1"/>
  <c r="Z202" i="1"/>
  <c r="W203" i="1"/>
  <c r="Y203" i="1" s="1"/>
  <c r="Z203" i="1"/>
  <c r="W204" i="1"/>
  <c r="N204" i="1" s="1"/>
  <c r="Z204" i="1"/>
  <c r="W205" i="1"/>
  <c r="Q205" i="1" s="1"/>
  <c r="Z205" i="1"/>
  <c r="W206" i="1"/>
  <c r="Y206" i="1" s="1"/>
  <c r="Z206" i="1"/>
  <c r="W207" i="1"/>
  <c r="X207" i="1" s="1"/>
  <c r="Z207" i="1"/>
  <c r="W208" i="1"/>
  <c r="Y208" i="1" s="1"/>
  <c r="Z208" i="1"/>
  <c r="W209" i="1"/>
  <c r="X209" i="1" s="1"/>
  <c r="Z209" i="1"/>
  <c r="W210" i="1"/>
  <c r="X210" i="1" s="1"/>
  <c r="Z210" i="1"/>
  <c r="W211" i="1"/>
  <c r="Y211" i="1" s="1"/>
  <c r="Z211" i="1"/>
  <c r="W212" i="1"/>
  <c r="N212" i="1" s="1"/>
  <c r="Z212" i="1"/>
  <c r="W213" i="1"/>
  <c r="N213" i="1" s="1"/>
  <c r="Z213" i="1"/>
  <c r="W214" i="1"/>
  <c r="Y214" i="1" s="1"/>
  <c r="Z214" i="1"/>
  <c r="W215" i="1"/>
  <c r="X215" i="1" s="1"/>
  <c r="Z215" i="1"/>
  <c r="W216" i="1"/>
  <c r="Y216" i="1" s="1"/>
  <c r="Z216" i="1"/>
  <c r="W217" i="1"/>
  <c r="X217" i="1" s="1"/>
  <c r="Z217" i="1"/>
  <c r="W218" i="1"/>
  <c r="X218" i="1" s="1"/>
  <c r="Z218" i="1"/>
  <c r="W219" i="1"/>
  <c r="Y219" i="1" s="1"/>
  <c r="Z219" i="1"/>
  <c r="W220" i="1"/>
  <c r="N220" i="1" s="1"/>
  <c r="Z220" i="1"/>
  <c r="W221" i="1"/>
  <c r="N221" i="1" s="1"/>
  <c r="Z221" i="1"/>
  <c r="W222" i="1"/>
  <c r="X222" i="1" s="1"/>
  <c r="Z222" i="1"/>
  <c r="W223" i="1"/>
  <c r="X223" i="1" s="1"/>
  <c r="Z223" i="1"/>
  <c r="W224" i="1"/>
  <c r="Y224" i="1" s="1"/>
  <c r="Z224" i="1"/>
  <c r="W225" i="1"/>
  <c r="X225" i="1" s="1"/>
  <c r="Z225" i="1"/>
  <c r="W226" i="1"/>
  <c r="Y226" i="1" s="1"/>
  <c r="Z226" i="1"/>
  <c r="W227" i="1"/>
  <c r="Y227" i="1" s="1"/>
  <c r="Z227" i="1"/>
  <c r="W228" i="1"/>
  <c r="Y228" i="1" s="1"/>
  <c r="Z228" i="1"/>
  <c r="W229" i="1"/>
  <c r="Q229" i="1" s="1"/>
  <c r="Z229" i="1"/>
  <c r="W230" i="1"/>
  <c r="X230" i="1" s="1"/>
  <c r="Z230" i="1"/>
  <c r="W231" i="1"/>
  <c r="X231" i="1" s="1"/>
  <c r="Z231" i="1"/>
  <c r="W232" i="1"/>
  <c r="Y232" i="1" s="1"/>
  <c r="Z232" i="1"/>
  <c r="W233" i="1"/>
  <c r="X233" i="1" s="1"/>
  <c r="Z233" i="1"/>
  <c r="W234" i="1"/>
  <c r="X234" i="1" s="1"/>
  <c r="Z234" i="1"/>
  <c r="W235" i="1"/>
  <c r="X235" i="1" s="1"/>
  <c r="Z235" i="1"/>
  <c r="W236" i="1"/>
  <c r="Y236" i="1" s="1"/>
  <c r="Z236" i="1"/>
  <c r="W237" i="1"/>
  <c r="X237" i="1" s="1"/>
  <c r="Z237" i="1"/>
  <c r="W238" i="1"/>
  <c r="Y238" i="1" s="1"/>
  <c r="Z238" i="1"/>
  <c r="O238" i="1" s="1"/>
  <c r="K238" i="1" s="1"/>
  <c r="W239" i="1"/>
  <c r="X239" i="1" s="1"/>
  <c r="Z239" i="1"/>
  <c r="W240" i="1"/>
  <c r="Y240" i="1" s="1"/>
  <c r="Z240" i="1"/>
  <c r="W241" i="1"/>
  <c r="X241" i="1" s="1"/>
  <c r="Z241" i="1"/>
  <c r="W242" i="1"/>
  <c r="X242" i="1" s="1"/>
  <c r="Z242" i="1"/>
  <c r="W243" i="1"/>
  <c r="Y243" i="1" s="1"/>
  <c r="Z243" i="1"/>
  <c r="W244" i="1"/>
  <c r="Y244" i="1" s="1"/>
  <c r="Z244" i="1"/>
  <c r="W245" i="1"/>
  <c r="X245" i="1" s="1"/>
  <c r="Z245" i="1"/>
  <c r="W246" i="1"/>
  <c r="X246" i="1" s="1"/>
  <c r="Z246" i="1"/>
  <c r="W247" i="1"/>
  <c r="X247" i="1" s="1"/>
  <c r="Z247" i="1"/>
  <c r="W248" i="1"/>
  <c r="Y248" i="1" s="1"/>
  <c r="Z248" i="1"/>
  <c r="W249" i="1"/>
  <c r="X249" i="1" s="1"/>
  <c r="Z249" i="1"/>
  <c r="W250" i="1"/>
  <c r="X250" i="1" s="1"/>
  <c r="Z250" i="1"/>
  <c r="W251" i="1"/>
  <c r="Y251" i="1" s="1"/>
  <c r="Z251" i="1"/>
  <c r="W252" i="1"/>
  <c r="Y252" i="1" s="1"/>
  <c r="Z252" i="1"/>
  <c r="W253" i="1"/>
  <c r="X253" i="1" s="1"/>
  <c r="Z253" i="1"/>
  <c r="W254" i="1"/>
  <c r="X254" i="1" s="1"/>
  <c r="Z254" i="1"/>
  <c r="W255" i="1"/>
  <c r="X255" i="1" s="1"/>
  <c r="Z255" i="1"/>
  <c r="W256" i="1"/>
  <c r="Y256" i="1" s="1"/>
  <c r="Z256" i="1"/>
  <c r="W257" i="1"/>
  <c r="X257" i="1" s="1"/>
  <c r="Z257" i="1"/>
  <c r="W258" i="1"/>
  <c r="Y258" i="1" s="1"/>
  <c r="Z258" i="1"/>
  <c r="W259" i="1"/>
  <c r="Y259" i="1" s="1"/>
  <c r="Z259" i="1"/>
  <c r="W260" i="1"/>
  <c r="X260" i="1" s="1"/>
  <c r="Z260" i="1"/>
  <c r="W261" i="1"/>
  <c r="X261" i="1" s="1"/>
  <c r="Z261" i="1"/>
  <c r="W262" i="1"/>
  <c r="Y262" i="1" s="1"/>
  <c r="Z262" i="1"/>
  <c r="O262" i="1" s="1"/>
  <c r="I262" i="1" s="1"/>
  <c r="W263" i="1"/>
  <c r="X263" i="1" s="1"/>
  <c r="Z263" i="1"/>
  <c r="W264" i="1"/>
  <c r="Y264" i="1" s="1"/>
  <c r="Z264" i="1"/>
  <c r="W265" i="1"/>
  <c r="X265" i="1" s="1"/>
  <c r="Z265" i="1"/>
  <c r="W12" i="1"/>
  <c r="Y12" i="1" s="1"/>
  <c r="Z12" i="1"/>
  <c r="W13" i="1"/>
  <c r="Y13" i="1" s="1"/>
  <c r="Z13" i="1"/>
  <c r="W14" i="1"/>
  <c r="Y14" i="1" s="1"/>
  <c r="Z14" i="1"/>
  <c r="W15" i="1"/>
  <c r="Y15" i="1" s="1"/>
  <c r="Z15" i="1"/>
  <c r="W16" i="1"/>
  <c r="Y16" i="1" s="1"/>
  <c r="Z16" i="1"/>
  <c r="W17" i="1"/>
  <c r="Y17" i="1" s="1"/>
  <c r="Z17" i="1"/>
  <c r="W18" i="1"/>
  <c r="Y18" i="1" s="1"/>
  <c r="Z18" i="1"/>
  <c r="W19" i="1"/>
  <c r="Y19" i="1" s="1"/>
  <c r="Z19" i="1"/>
  <c r="W20" i="1"/>
  <c r="Y20" i="1" s="1"/>
  <c r="Z20" i="1"/>
  <c r="W21" i="1"/>
  <c r="Y21" i="1" s="1"/>
  <c r="Z21" i="1"/>
  <c r="W22" i="1"/>
  <c r="Y22" i="1" s="1"/>
  <c r="Z22" i="1"/>
  <c r="W23" i="1"/>
  <c r="Y23" i="1" s="1"/>
  <c r="Z23" i="1"/>
  <c r="W24" i="1"/>
  <c r="Y24" i="1" s="1"/>
  <c r="Z24" i="1"/>
  <c r="W25" i="1"/>
  <c r="X25" i="1" s="1"/>
  <c r="Z25" i="1"/>
  <c r="W26" i="1"/>
  <c r="Y26" i="1" s="1"/>
  <c r="Z26" i="1"/>
  <c r="W27" i="1"/>
  <c r="Y27" i="1" s="1"/>
  <c r="Z27" i="1"/>
  <c r="W28" i="1"/>
  <c r="Y28" i="1" s="1"/>
  <c r="Z28" i="1"/>
  <c r="W29" i="1"/>
  <c r="Y29" i="1" s="1"/>
  <c r="Z29" i="1"/>
  <c r="W30" i="1"/>
  <c r="Y30" i="1" s="1"/>
  <c r="Z30" i="1"/>
  <c r="W31" i="1"/>
  <c r="Y31" i="1" s="1"/>
  <c r="Z31" i="1"/>
  <c r="W32" i="1"/>
  <c r="Y32" i="1" s="1"/>
  <c r="Z32" i="1"/>
  <c r="W33" i="1"/>
  <c r="Y33" i="1" s="1"/>
  <c r="Z33" i="1"/>
  <c r="Z11" i="1"/>
  <c r="W11" i="1"/>
  <c r="Y11" i="1" s="1"/>
  <c r="K182" i="1" l="1"/>
  <c r="I182" i="1"/>
  <c r="J182" i="1"/>
  <c r="N170" i="1"/>
  <c r="K262" i="1"/>
  <c r="K134" i="1"/>
  <c r="I134" i="1"/>
  <c r="J134" i="1"/>
  <c r="N94" i="1"/>
  <c r="J262" i="1"/>
  <c r="I238" i="1"/>
  <c r="J238" i="1"/>
  <c r="N70" i="1"/>
  <c r="I186" i="1"/>
  <c r="J186" i="1"/>
  <c r="K186" i="1"/>
  <c r="D115" i="1"/>
  <c r="E115" i="1"/>
  <c r="D156" i="1"/>
  <c r="E156" i="1"/>
  <c r="F156" i="1" s="1"/>
  <c r="O128" i="1"/>
  <c r="Q195" i="1"/>
  <c r="D206" i="1"/>
  <c r="E206" i="1" s="1"/>
  <c r="F206" i="1" s="1"/>
  <c r="D157" i="1"/>
  <c r="E157" i="1" s="1"/>
  <c r="F157" i="1" s="1"/>
  <c r="E69" i="1"/>
  <c r="N163" i="1"/>
  <c r="O33" i="1"/>
  <c r="O29" i="1"/>
  <c r="O259" i="1"/>
  <c r="O251" i="1"/>
  <c r="O243" i="1"/>
  <c r="O227" i="1"/>
  <c r="O219" i="1"/>
  <c r="O211" i="1"/>
  <c r="O199" i="1"/>
  <c r="O191" i="1"/>
  <c r="O179" i="1"/>
  <c r="O171" i="1"/>
  <c r="O155" i="1"/>
  <c r="O151" i="1"/>
  <c r="O147" i="1"/>
  <c r="O135" i="1"/>
  <c r="O131" i="1"/>
  <c r="O119" i="1"/>
  <c r="O99" i="1"/>
  <c r="O75" i="1"/>
  <c r="O63" i="1"/>
  <c r="O43" i="1"/>
  <c r="O39" i="1"/>
  <c r="N146" i="1"/>
  <c r="Q163" i="1"/>
  <c r="Q61" i="1"/>
  <c r="E213" i="1"/>
  <c r="F213" i="1" s="1"/>
  <c r="E188" i="1"/>
  <c r="F188" i="1" s="1"/>
  <c r="E89" i="1"/>
  <c r="Q131" i="1"/>
  <c r="Q59" i="1"/>
  <c r="Q53" i="1"/>
  <c r="N38" i="1"/>
  <c r="Q93" i="1"/>
  <c r="Q45" i="1"/>
  <c r="E57" i="1"/>
  <c r="N222" i="1"/>
  <c r="Q85" i="1"/>
  <c r="Q37" i="1"/>
  <c r="E141" i="1"/>
  <c r="E133" i="1"/>
  <c r="E101" i="1"/>
  <c r="F101" i="1" s="1"/>
  <c r="Q259" i="1"/>
  <c r="Q79" i="1"/>
  <c r="Q31" i="1"/>
  <c r="E229" i="1"/>
  <c r="E163" i="1"/>
  <c r="E73" i="1"/>
  <c r="E53" i="1"/>
  <c r="Q227" i="1"/>
  <c r="E232" i="1"/>
  <c r="F232" i="1" s="1"/>
  <c r="F229" i="1"/>
  <c r="E160" i="1"/>
  <c r="F160" i="1" s="1"/>
  <c r="E208" i="1"/>
  <c r="E116" i="1"/>
  <c r="F116" i="1" s="1"/>
  <c r="E220" i="1"/>
  <c r="F220" i="1" s="1"/>
  <c r="D164" i="1"/>
  <c r="E164" i="1" s="1"/>
  <c r="F164" i="1" s="1"/>
  <c r="D225" i="1"/>
  <c r="E225" i="1" s="1"/>
  <c r="D228" i="1"/>
  <c r="E228" i="1" s="1"/>
  <c r="D147" i="1"/>
  <c r="E147" i="1" s="1"/>
  <c r="D201" i="1"/>
  <c r="E201" i="1" s="1"/>
  <c r="Q255" i="1"/>
  <c r="Q223" i="1"/>
  <c r="Q191" i="1"/>
  <c r="Q159" i="1"/>
  <c r="Q127" i="1"/>
  <c r="Q99" i="1"/>
  <c r="Q55" i="1"/>
  <c r="Q35" i="1"/>
  <c r="E216" i="1"/>
  <c r="Q219" i="1"/>
  <c r="Q187" i="1"/>
  <c r="Q155" i="1"/>
  <c r="Q75" i="1"/>
  <c r="N139" i="1"/>
  <c r="N63" i="1"/>
  <c r="Q247" i="1"/>
  <c r="Q215" i="1"/>
  <c r="Q183" i="1"/>
  <c r="Q151" i="1"/>
  <c r="Q119" i="1"/>
  <c r="Q71" i="1"/>
  <c r="Q51" i="1"/>
  <c r="Q29" i="1"/>
  <c r="F208" i="1"/>
  <c r="F133" i="1"/>
  <c r="E131" i="1"/>
  <c r="F131" i="1" s="1"/>
  <c r="N216" i="1"/>
  <c r="N211" i="1"/>
  <c r="Q251" i="1"/>
  <c r="Q123" i="1"/>
  <c r="N188" i="1"/>
  <c r="N43" i="1"/>
  <c r="Q243" i="1"/>
  <c r="Q211" i="1"/>
  <c r="Q179" i="1"/>
  <c r="Q147" i="1"/>
  <c r="Q115" i="1"/>
  <c r="Q91" i="1"/>
  <c r="Q47" i="1"/>
  <c r="E217" i="1"/>
  <c r="F105" i="1"/>
  <c r="N88" i="1"/>
  <c r="N240" i="1"/>
  <c r="N115" i="1"/>
  <c r="Q239" i="1"/>
  <c r="Q207" i="1"/>
  <c r="Q175" i="1"/>
  <c r="Q143" i="1"/>
  <c r="Q111" i="1"/>
  <c r="Q87" i="1"/>
  <c r="Q67" i="1"/>
  <c r="E251" i="1"/>
  <c r="F251" i="1" s="1"/>
  <c r="E125" i="1"/>
  <c r="F125" i="1" s="1"/>
  <c r="E29" i="1"/>
  <c r="F29" i="1" s="1"/>
  <c r="F216" i="1"/>
  <c r="Q95" i="1"/>
  <c r="O30" i="1"/>
  <c r="O26" i="1"/>
  <c r="O264" i="1"/>
  <c r="O256" i="1"/>
  <c r="O252" i="1"/>
  <c r="O248" i="1"/>
  <c r="O244" i="1"/>
  <c r="O240" i="1"/>
  <c r="O236" i="1"/>
  <c r="O232" i="1"/>
  <c r="O228" i="1"/>
  <c r="O224" i="1"/>
  <c r="O216" i="1"/>
  <c r="O208" i="1"/>
  <c r="O200" i="1"/>
  <c r="O192" i="1"/>
  <c r="O184" i="1"/>
  <c r="O176" i="1"/>
  <c r="O168" i="1"/>
  <c r="O160" i="1"/>
  <c r="O152" i="1"/>
  <c r="O144" i="1"/>
  <c r="O136" i="1"/>
  <c r="O120" i="1"/>
  <c r="O112" i="1"/>
  <c r="O104" i="1"/>
  <c r="O96" i="1"/>
  <c r="O88" i="1"/>
  <c r="O80" i="1"/>
  <c r="O72" i="1"/>
  <c r="O64" i="1"/>
  <c r="O56" i="1"/>
  <c r="O48" i="1"/>
  <c r="O40" i="1"/>
  <c r="N176" i="1"/>
  <c r="N108" i="1"/>
  <c r="Q235" i="1"/>
  <c r="Q203" i="1"/>
  <c r="Q171" i="1"/>
  <c r="Q139" i="1"/>
  <c r="Q107" i="1"/>
  <c r="Q63" i="1"/>
  <c r="Q43" i="1"/>
  <c r="E245" i="1"/>
  <c r="F245" i="1" s="1"/>
  <c r="D214" i="1"/>
  <c r="E132" i="1"/>
  <c r="F132" i="1" s="1"/>
  <c r="E85" i="1"/>
  <c r="F85" i="1" s="1"/>
  <c r="E41" i="1"/>
  <c r="F41" i="1" s="1"/>
  <c r="N228" i="1"/>
  <c r="N96" i="1"/>
  <c r="Q263" i="1"/>
  <c r="Q231" i="1"/>
  <c r="Q199" i="1"/>
  <c r="Q167" i="1"/>
  <c r="Q135" i="1"/>
  <c r="Q103" i="1"/>
  <c r="Q83" i="1"/>
  <c r="Q39" i="1"/>
  <c r="E248" i="1"/>
  <c r="F248" i="1" s="1"/>
  <c r="D235" i="1"/>
  <c r="E235" i="1" s="1"/>
  <c r="F235" i="1" s="1"/>
  <c r="E222" i="1"/>
  <c r="E212" i="1"/>
  <c r="F212" i="1" s="1"/>
  <c r="E209" i="1"/>
  <c r="F209" i="1" s="1"/>
  <c r="E205" i="1"/>
  <c r="F205" i="1" s="1"/>
  <c r="E187" i="1"/>
  <c r="E117" i="1"/>
  <c r="F117" i="1" s="1"/>
  <c r="D263" i="1"/>
  <c r="E263" i="1"/>
  <c r="D224" i="1"/>
  <c r="D151" i="1"/>
  <c r="E151" i="1" s="1"/>
  <c r="D247" i="1"/>
  <c r="E247" i="1" s="1"/>
  <c r="D237" i="1"/>
  <c r="E237" i="1" s="1"/>
  <c r="D253" i="1"/>
  <c r="D230" i="1"/>
  <c r="E230" i="1" s="1"/>
  <c r="D159" i="1"/>
  <c r="E159" i="1" s="1"/>
  <c r="D259" i="1"/>
  <c r="E259" i="1" s="1"/>
  <c r="D240" i="1"/>
  <c r="E240" i="1" s="1"/>
  <c r="E252" i="1"/>
  <c r="F252" i="1" s="1"/>
  <c r="D241" i="1"/>
  <c r="E241" i="1" s="1"/>
  <c r="D227" i="1"/>
  <c r="E227" i="1" s="1"/>
  <c r="D244" i="1"/>
  <c r="E244" i="1" s="1"/>
  <c r="D262" i="1"/>
  <c r="E262" i="1"/>
  <c r="D255" i="1"/>
  <c r="F255" i="1" s="1"/>
  <c r="E239" i="1"/>
  <c r="F239" i="1" s="1"/>
  <c r="E236" i="1"/>
  <c r="F236" i="1" s="1"/>
  <c r="D226" i="1"/>
  <c r="E226" i="1" s="1"/>
  <c r="D223" i="1"/>
  <c r="D170" i="1"/>
  <c r="F170" i="1" s="1"/>
  <c r="D265" i="1"/>
  <c r="D258" i="1"/>
  <c r="E258" i="1" s="1"/>
  <c r="D246" i="1"/>
  <c r="E246" i="1" s="1"/>
  <c r="D243" i="1"/>
  <c r="D215" i="1"/>
  <c r="E215" i="1" s="1"/>
  <c r="D191" i="1"/>
  <c r="E191" i="1" s="1"/>
  <c r="D178" i="1"/>
  <c r="E178" i="1" s="1"/>
  <c r="D167" i="1"/>
  <c r="E167" i="1" s="1"/>
  <c r="D261" i="1"/>
  <c r="E261" i="1" s="1"/>
  <c r="D254" i="1"/>
  <c r="E254" i="1" s="1"/>
  <c r="D231" i="1"/>
  <c r="E231" i="1" s="1"/>
  <c r="D162" i="1"/>
  <c r="E162" i="1" s="1"/>
  <c r="D257" i="1"/>
  <c r="D242" i="1"/>
  <c r="F242" i="1" s="1"/>
  <c r="E238" i="1"/>
  <c r="F238" i="1" s="1"/>
  <c r="D183" i="1"/>
  <c r="D175" i="1"/>
  <c r="E175" i="1" s="1"/>
  <c r="E250" i="1"/>
  <c r="F250" i="1" s="1"/>
  <c r="E234" i="1"/>
  <c r="F234" i="1" s="1"/>
  <c r="D103" i="1"/>
  <c r="D91" i="1"/>
  <c r="D75" i="1"/>
  <c r="E75" i="1" s="1"/>
  <c r="D59" i="1"/>
  <c r="D43" i="1"/>
  <c r="E43" i="1" s="1"/>
  <c r="E36" i="1"/>
  <c r="F36" i="1" s="1"/>
  <c r="D186" i="1"/>
  <c r="E186" i="1" s="1"/>
  <c r="E177" i="1"/>
  <c r="F177" i="1" s="1"/>
  <c r="E120" i="1"/>
  <c r="F120" i="1" s="1"/>
  <c r="D219" i="1"/>
  <c r="F168" i="1"/>
  <c r="E155" i="1"/>
  <c r="F155" i="1" s="1"/>
  <c r="D146" i="1"/>
  <c r="E146" i="1" s="1"/>
  <c r="D135" i="1"/>
  <c r="E135" i="1" s="1"/>
  <c r="D114" i="1"/>
  <c r="E114" i="1" s="1"/>
  <c r="D111" i="1"/>
  <c r="E77" i="1"/>
  <c r="F222" i="1"/>
  <c r="E199" i="1"/>
  <c r="F199" i="1" s="1"/>
  <c r="D87" i="1"/>
  <c r="D55" i="1"/>
  <c r="D39" i="1"/>
  <c r="E39" i="1" s="1"/>
  <c r="E204" i="1"/>
  <c r="F204" i="1" s="1"/>
  <c r="E195" i="1"/>
  <c r="F195" i="1" s="1"/>
  <c r="D190" i="1"/>
  <c r="E190" i="1" s="1"/>
  <c r="E184" i="1"/>
  <c r="F184" i="1" s="1"/>
  <c r="E161" i="1"/>
  <c r="F161" i="1" s="1"/>
  <c r="F152" i="1"/>
  <c r="F141" i="1"/>
  <c r="F136" i="1"/>
  <c r="D130" i="1"/>
  <c r="E130" i="1" s="1"/>
  <c r="F93" i="1"/>
  <c r="F61" i="1"/>
  <c r="F45" i="1"/>
  <c r="F173" i="1"/>
  <c r="E148" i="1"/>
  <c r="F148" i="1" s="1"/>
  <c r="F123" i="1"/>
  <c r="E202" i="1"/>
  <c r="F202" i="1" s="1"/>
  <c r="E200" i="1"/>
  <c r="F200" i="1" s="1"/>
  <c r="D194" i="1"/>
  <c r="E194" i="1" s="1"/>
  <c r="F179" i="1"/>
  <c r="F172" i="1"/>
  <c r="D143" i="1"/>
  <c r="E143" i="1" s="1"/>
  <c r="D127" i="1"/>
  <c r="E127" i="1" s="1"/>
  <c r="D107" i="1"/>
  <c r="E107" i="1" s="1"/>
  <c r="D102" i="1"/>
  <c r="E102" i="1" s="1"/>
  <c r="D99" i="1"/>
  <c r="D83" i="1"/>
  <c r="E83" i="1" s="1"/>
  <c r="D67" i="1"/>
  <c r="D51" i="1"/>
  <c r="E51" i="1" s="1"/>
  <c r="D35" i="1"/>
  <c r="F35" i="1" s="1"/>
  <c r="D110" i="1"/>
  <c r="E110" i="1" s="1"/>
  <c r="E264" i="1"/>
  <c r="F264" i="1" s="1"/>
  <c r="E260" i="1"/>
  <c r="E256" i="1"/>
  <c r="F256" i="1" s="1"/>
  <c r="E218" i="1"/>
  <c r="F218" i="1" s="1"/>
  <c r="E210" i="1"/>
  <c r="F210" i="1" s="1"/>
  <c r="E198" i="1"/>
  <c r="F198" i="1" s="1"/>
  <c r="E196" i="1"/>
  <c r="F196" i="1" s="1"/>
  <c r="E192" i="1"/>
  <c r="F192" i="1" s="1"/>
  <c r="F165" i="1"/>
  <c r="F163" i="1"/>
  <c r="D154" i="1"/>
  <c r="D138" i="1"/>
  <c r="F115" i="1"/>
  <c r="D112" i="1"/>
  <c r="E112" i="1" s="1"/>
  <c r="F89" i="1"/>
  <c r="F73" i="1"/>
  <c r="F57" i="1"/>
  <c r="F139" i="1"/>
  <c r="E249" i="1"/>
  <c r="F249" i="1" s="1"/>
  <c r="E233" i="1"/>
  <c r="F233" i="1" s="1"/>
  <c r="E221" i="1"/>
  <c r="F221" i="1" s="1"/>
  <c r="F197" i="1"/>
  <c r="E189" i="1"/>
  <c r="F185" i="1"/>
  <c r="F181" i="1"/>
  <c r="E169" i="1"/>
  <c r="F169" i="1" s="1"/>
  <c r="E140" i="1"/>
  <c r="F140" i="1" s="1"/>
  <c r="D122" i="1"/>
  <c r="E122" i="1" s="1"/>
  <c r="D95" i="1"/>
  <c r="E95" i="1" s="1"/>
  <c r="D79" i="1"/>
  <c r="D63" i="1"/>
  <c r="E63" i="1" s="1"/>
  <c r="D47" i="1"/>
  <c r="E40" i="1"/>
  <c r="F40" i="1" s="1"/>
  <c r="E211" i="1"/>
  <c r="F211" i="1" s="1"/>
  <c r="D71" i="1"/>
  <c r="E71" i="1" s="1"/>
  <c r="E207" i="1"/>
  <c r="F207" i="1" s="1"/>
  <c r="D203" i="1"/>
  <c r="E203" i="1" s="1"/>
  <c r="E193" i="1"/>
  <c r="F193" i="1" s="1"/>
  <c r="F187" i="1"/>
  <c r="E180" i="1"/>
  <c r="F180" i="1" s="1"/>
  <c r="E176" i="1"/>
  <c r="F176" i="1" s="1"/>
  <c r="E171" i="1"/>
  <c r="F171" i="1" s="1"/>
  <c r="F149" i="1"/>
  <c r="F144" i="1"/>
  <c r="E128" i="1"/>
  <c r="F128" i="1" s="1"/>
  <c r="D119" i="1"/>
  <c r="E119" i="1" s="1"/>
  <c r="E108" i="1"/>
  <c r="F108" i="1" s="1"/>
  <c r="E97" i="1"/>
  <c r="F97" i="1" s="1"/>
  <c r="E81" i="1"/>
  <c r="F81" i="1" s="1"/>
  <c r="F69" i="1"/>
  <c r="E65" i="1"/>
  <c r="F65" i="1" s="1"/>
  <c r="F53" i="1"/>
  <c r="E49" i="1"/>
  <c r="F49" i="1" s="1"/>
  <c r="F37" i="1"/>
  <c r="E33" i="1"/>
  <c r="F33" i="1" s="1"/>
  <c r="F153" i="1"/>
  <c r="F145" i="1"/>
  <c r="F137" i="1"/>
  <c r="F129" i="1"/>
  <c r="F121" i="1"/>
  <c r="F113" i="1"/>
  <c r="D31" i="1"/>
  <c r="E31" i="1" s="1"/>
  <c r="D182" i="1"/>
  <c r="F182" i="1" s="1"/>
  <c r="D174" i="1"/>
  <c r="E174" i="1" s="1"/>
  <c r="D166" i="1"/>
  <c r="D158" i="1"/>
  <c r="E158" i="1" s="1"/>
  <c r="D150" i="1"/>
  <c r="E150" i="1" s="1"/>
  <c r="D142" i="1"/>
  <c r="D134" i="1"/>
  <c r="D126" i="1"/>
  <c r="E126" i="1" s="1"/>
  <c r="D118" i="1"/>
  <c r="E118" i="1" s="1"/>
  <c r="D106" i="1"/>
  <c r="E106" i="1" s="1"/>
  <c r="D26" i="1"/>
  <c r="E26" i="1" s="1"/>
  <c r="F104" i="1"/>
  <c r="E28" i="1"/>
  <c r="F28" i="1" s="1"/>
  <c r="E109" i="1"/>
  <c r="F109" i="1" s="1"/>
  <c r="E100" i="1"/>
  <c r="F100" i="1" s="1"/>
  <c r="E96" i="1"/>
  <c r="F96" i="1" s="1"/>
  <c r="E92" i="1"/>
  <c r="F92" i="1" s="1"/>
  <c r="E88" i="1"/>
  <c r="F88" i="1" s="1"/>
  <c r="E84" i="1"/>
  <c r="F84" i="1" s="1"/>
  <c r="E80" i="1"/>
  <c r="E76" i="1"/>
  <c r="F76" i="1" s="1"/>
  <c r="E72" i="1"/>
  <c r="F72" i="1" s="1"/>
  <c r="E68" i="1"/>
  <c r="F68" i="1" s="1"/>
  <c r="E64" i="1"/>
  <c r="F64" i="1" s="1"/>
  <c r="E60" i="1"/>
  <c r="F60" i="1" s="1"/>
  <c r="E56" i="1"/>
  <c r="F56" i="1" s="1"/>
  <c r="E52" i="1"/>
  <c r="F52" i="1" s="1"/>
  <c r="E48" i="1"/>
  <c r="F48" i="1" s="1"/>
  <c r="E44" i="1"/>
  <c r="F44" i="1" s="1"/>
  <c r="D30" i="1"/>
  <c r="E30" i="1" s="1"/>
  <c r="E25" i="1"/>
  <c r="F25" i="1" s="1"/>
  <c r="E32" i="1"/>
  <c r="F32" i="1" s="1"/>
  <c r="D98" i="1"/>
  <c r="E98" i="1" s="1"/>
  <c r="D94" i="1"/>
  <c r="E94" i="1" s="1"/>
  <c r="D90" i="1"/>
  <c r="D86" i="1"/>
  <c r="F86" i="1" s="1"/>
  <c r="D82" i="1"/>
  <c r="E82" i="1" s="1"/>
  <c r="D78" i="1"/>
  <c r="E78" i="1" s="1"/>
  <c r="D74" i="1"/>
  <c r="E74" i="1" s="1"/>
  <c r="D70" i="1"/>
  <c r="D66" i="1"/>
  <c r="E66" i="1" s="1"/>
  <c r="D62" i="1"/>
  <c r="F62" i="1" s="1"/>
  <c r="D58" i="1"/>
  <c r="E58" i="1" s="1"/>
  <c r="D54" i="1"/>
  <c r="D50" i="1"/>
  <c r="E50" i="1" s="1"/>
  <c r="D46" i="1"/>
  <c r="E46" i="1" s="1"/>
  <c r="D42" i="1"/>
  <c r="D38" i="1"/>
  <c r="D34" i="1"/>
  <c r="E34" i="1" s="1"/>
  <c r="D27" i="1"/>
  <c r="E27" i="1" s="1"/>
  <c r="O27" i="1"/>
  <c r="N239" i="1"/>
  <c r="N194" i="1"/>
  <c r="N171" i="1"/>
  <c r="N147" i="1"/>
  <c r="N128" i="1"/>
  <c r="N95" i="1"/>
  <c r="N42" i="1"/>
  <c r="Q262" i="1"/>
  <c r="Q254" i="1"/>
  <c r="Q246" i="1"/>
  <c r="Q238" i="1"/>
  <c r="Q230" i="1"/>
  <c r="Q222" i="1"/>
  <c r="Q214" i="1"/>
  <c r="Q206" i="1"/>
  <c r="Q198" i="1"/>
  <c r="Q190" i="1"/>
  <c r="Q182" i="1"/>
  <c r="Q174" i="1"/>
  <c r="Q166" i="1"/>
  <c r="Q158" i="1"/>
  <c r="Q150" i="1"/>
  <c r="Q142" i="1"/>
  <c r="Q134" i="1"/>
  <c r="Q126" i="1"/>
  <c r="Q118" i="1"/>
  <c r="Q110" i="1"/>
  <c r="Q102" i="1"/>
  <c r="Q94" i="1"/>
  <c r="Q86" i="1"/>
  <c r="Q78" i="1"/>
  <c r="Q70" i="1"/>
  <c r="Q62" i="1"/>
  <c r="Q54" i="1"/>
  <c r="Q46" i="1"/>
  <c r="Q38" i="1"/>
  <c r="Q30" i="1"/>
  <c r="O31" i="1"/>
  <c r="Q261" i="1"/>
  <c r="Q253" i="1"/>
  <c r="Q245" i="1"/>
  <c r="Q237" i="1"/>
  <c r="Q221" i="1"/>
  <c r="Q213" i="1"/>
  <c r="Q189" i="1"/>
  <c r="Q181" i="1"/>
  <c r="Q157" i="1"/>
  <c r="Q149" i="1"/>
  <c r="Q125" i="1"/>
  <c r="Q117" i="1"/>
  <c r="N234" i="1"/>
  <c r="N215" i="1"/>
  <c r="N187" i="1"/>
  <c r="N164" i="1"/>
  <c r="N140" i="1"/>
  <c r="N114" i="1"/>
  <c r="N62" i="1"/>
  <c r="N32" i="1"/>
  <c r="Q260" i="1"/>
  <c r="Q252" i="1"/>
  <c r="Q244" i="1"/>
  <c r="Q236" i="1"/>
  <c r="Q228" i="1"/>
  <c r="Q220" i="1"/>
  <c r="Q212" i="1"/>
  <c r="Q204" i="1"/>
  <c r="Q196" i="1"/>
  <c r="Q180" i="1"/>
  <c r="Q172" i="1"/>
  <c r="Q164" i="1"/>
  <c r="Q156" i="1"/>
  <c r="Q148" i="1"/>
  <c r="Q140" i="1"/>
  <c r="Q132" i="1"/>
  <c r="Q124" i="1"/>
  <c r="Q116" i="1"/>
  <c r="Q108" i="1"/>
  <c r="Q100" i="1"/>
  <c r="Q92" i="1"/>
  <c r="Q84" i="1"/>
  <c r="Q76" i="1"/>
  <c r="Q68" i="1"/>
  <c r="Q60" i="1"/>
  <c r="Q52" i="1"/>
  <c r="Q44" i="1"/>
  <c r="Q36" i="1"/>
  <c r="Q28" i="1"/>
  <c r="N210" i="1"/>
  <c r="N162" i="1"/>
  <c r="N138" i="1"/>
  <c r="N107" i="1"/>
  <c r="N82" i="1"/>
  <c r="N56" i="1"/>
  <c r="Q258" i="1"/>
  <c r="Q250" i="1"/>
  <c r="Q242" i="1"/>
  <c r="Q234" i="1"/>
  <c r="Q226" i="1"/>
  <c r="Q218" i="1"/>
  <c r="Q210" i="1"/>
  <c r="Q202" i="1"/>
  <c r="Q194" i="1"/>
  <c r="Q186" i="1"/>
  <c r="Q178" i="1"/>
  <c r="Q170" i="1"/>
  <c r="Q162" i="1"/>
  <c r="Q154" i="1"/>
  <c r="Q146" i="1"/>
  <c r="Q138" i="1"/>
  <c r="Q130" i="1"/>
  <c r="Q122" i="1"/>
  <c r="Q114" i="1"/>
  <c r="Q106" i="1"/>
  <c r="Q98" i="1"/>
  <c r="Q90" i="1"/>
  <c r="Q82" i="1"/>
  <c r="Q74" i="1"/>
  <c r="Q66" i="1"/>
  <c r="Q58" i="1"/>
  <c r="Q50" i="1"/>
  <c r="Q42" i="1"/>
  <c r="Q34" i="1"/>
  <c r="Q26" i="1"/>
  <c r="N262" i="1"/>
  <c r="N28" i="1"/>
  <c r="Q27" i="1"/>
  <c r="O203" i="1"/>
  <c r="O87" i="1"/>
  <c r="O32" i="1"/>
  <c r="O28" i="1"/>
  <c r="O258" i="1"/>
  <c r="O226" i="1"/>
  <c r="O214" i="1"/>
  <c r="O206" i="1"/>
  <c r="O202" i="1"/>
  <c r="O194" i="1"/>
  <c r="O174" i="1"/>
  <c r="O158" i="1"/>
  <c r="O150" i="1"/>
  <c r="O102" i="1"/>
  <c r="O78" i="1"/>
  <c r="O46" i="1"/>
  <c r="N251" i="1"/>
  <c r="N227" i="1"/>
  <c r="N182" i="1"/>
  <c r="N158" i="1"/>
  <c r="N106" i="1"/>
  <c r="N76" i="1"/>
  <c r="N55" i="1"/>
  <c r="Q265" i="1"/>
  <c r="Q257" i="1"/>
  <c r="Q249" i="1"/>
  <c r="Q241" i="1"/>
  <c r="Q233" i="1"/>
  <c r="Q225" i="1"/>
  <c r="Q217" i="1"/>
  <c r="Q209" i="1"/>
  <c r="Q201" i="1"/>
  <c r="Q193" i="1"/>
  <c r="Q185" i="1"/>
  <c r="Q177" i="1"/>
  <c r="Q169" i="1"/>
  <c r="Q161" i="1"/>
  <c r="Q153" i="1"/>
  <c r="Q145" i="1"/>
  <c r="Q137" i="1"/>
  <c r="Q129" i="1"/>
  <c r="Q121" i="1"/>
  <c r="Q113" i="1"/>
  <c r="Q105" i="1"/>
  <c r="Q97" i="1"/>
  <c r="Q89" i="1"/>
  <c r="Q81" i="1"/>
  <c r="Q73" i="1"/>
  <c r="Q65" i="1"/>
  <c r="Q57" i="1"/>
  <c r="Q49" i="1"/>
  <c r="Q41" i="1"/>
  <c r="Q33" i="1"/>
  <c r="Q25" i="1"/>
  <c r="N250" i="1"/>
  <c r="N223" i="1"/>
  <c r="N200" i="1"/>
  <c r="N152" i="1"/>
  <c r="N134" i="1"/>
  <c r="N102" i="1"/>
  <c r="Q264" i="1"/>
  <c r="Q256" i="1"/>
  <c r="Q248" i="1"/>
  <c r="Q240" i="1"/>
  <c r="Q232" i="1"/>
  <c r="Q224" i="1"/>
  <c r="Q216" i="1"/>
  <c r="Q208" i="1"/>
  <c r="Q200" i="1"/>
  <c r="Q192" i="1"/>
  <c r="Q184" i="1"/>
  <c r="Q176" i="1"/>
  <c r="Q168" i="1"/>
  <c r="Q160" i="1"/>
  <c r="Q152" i="1"/>
  <c r="Q144" i="1"/>
  <c r="Q136" i="1"/>
  <c r="Q128" i="1"/>
  <c r="Q120" i="1"/>
  <c r="Q112" i="1"/>
  <c r="Q104" i="1"/>
  <c r="Q96" i="1"/>
  <c r="Q88" i="1"/>
  <c r="Q80" i="1"/>
  <c r="Q72" i="1"/>
  <c r="Q64" i="1"/>
  <c r="Q56" i="1"/>
  <c r="Q48" i="1"/>
  <c r="Q40" i="1"/>
  <c r="Q32" i="1"/>
  <c r="Q24" i="1"/>
  <c r="N205" i="1"/>
  <c r="N193" i="1"/>
  <c r="N257" i="1"/>
  <c r="N49" i="1"/>
  <c r="N233" i="1"/>
  <c r="N199" i="1"/>
  <c r="N175" i="1"/>
  <c r="N169" i="1"/>
  <c r="N156" i="1"/>
  <c r="N151" i="1"/>
  <c r="N145" i="1"/>
  <c r="N133" i="1"/>
  <c r="N127" i="1"/>
  <c r="N120" i="1"/>
  <c r="N113" i="1"/>
  <c r="N100" i="1"/>
  <c r="N75" i="1"/>
  <c r="N68" i="1"/>
  <c r="N48" i="1"/>
  <c r="N36" i="1"/>
  <c r="N31" i="1"/>
  <c r="N27" i="1"/>
  <c r="N260" i="1"/>
  <c r="N255" i="1"/>
  <c r="N249" i="1"/>
  <c r="N238" i="1"/>
  <c r="N232" i="1"/>
  <c r="N203" i="1"/>
  <c r="N198" i="1"/>
  <c r="N192" i="1"/>
  <c r="N186" i="1"/>
  <c r="N180" i="1"/>
  <c r="N161" i="1"/>
  <c r="N137" i="1"/>
  <c r="N132" i="1"/>
  <c r="N126" i="1"/>
  <c r="N105" i="1"/>
  <c r="N87" i="1"/>
  <c r="N80" i="1"/>
  <c r="N74" i="1"/>
  <c r="N67" i="1"/>
  <c r="N54" i="1"/>
  <c r="N47" i="1"/>
  <c r="N41" i="1"/>
  <c r="N35" i="1"/>
  <c r="N121" i="1"/>
  <c r="N256" i="1"/>
  <c r="N265" i="1"/>
  <c r="N254" i="1"/>
  <c r="N243" i="1"/>
  <c r="N237" i="1"/>
  <c r="N231" i="1"/>
  <c r="N226" i="1"/>
  <c r="N214" i="1"/>
  <c r="N208" i="1"/>
  <c r="N197" i="1"/>
  <c r="N185" i="1"/>
  <c r="N174" i="1"/>
  <c r="N168" i="1"/>
  <c r="N155" i="1"/>
  <c r="N150" i="1"/>
  <c r="N144" i="1"/>
  <c r="N119" i="1"/>
  <c r="N112" i="1"/>
  <c r="N99" i="1"/>
  <c r="N92" i="1"/>
  <c r="N86" i="1"/>
  <c r="N79" i="1"/>
  <c r="N73" i="1"/>
  <c r="N66" i="1"/>
  <c r="N60" i="1"/>
  <c r="N34" i="1"/>
  <c r="N30" i="1"/>
  <c r="N26" i="1"/>
  <c r="N245" i="1"/>
  <c r="N259" i="1"/>
  <c r="N253" i="1"/>
  <c r="N248" i="1"/>
  <c r="N242" i="1"/>
  <c r="N230" i="1"/>
  <c r="N225" i="1"/>
  <c r="N219" i="1"/>
  <c r="N207" i="1"/>
  <c r="N202" i="1"/>
  <c r="N191" i="1"/>
  <c r="N179" i="1"/>
  <c r="N173" i="1"/>
  <c r="N167" i="1"/>
  <c r="N160" i="1"/>
  <c r="N154" i="1"/>
  <c r="N143" i="1"/>
  <c r="N136" i="1"/>
  <c r="N131" i="1"/>
  <c r="N124" i="1"/>
  <c r="N118" i="1"/>
  <c r="N111" i="1"/>
  <c r="N104" i="1"/>
  <c r="N98" i="1"/>
  <c r="N91" i="1"/>
  <c r="N65" i="1"/>
  <c r="N59" i="1"/>
  <c r="N52" i="1"/>
  <c r="N46" i="1"/>
  <c r="N40" i="1"/>
  <c r="N25" i="1"/>
  <c r="N244" i="1"/>
  <c r="N209" i="1"/>
  <c r="N264" i="1"/>
  <c r="N247" i="1"/>
  <c r="N241" i="1"/>
  <c r="N236" i="1"/>
  <c r="N229" i="1"/>
  <c r="N218" i="1"/>
  <c r="N201" i="1"/>
  <c r="N195" i="1"/>
  <c r="N190" i="1"/>
  <c r="N184" i="1"/>
  <c r="N178" i="1"/>
  <c r="N172" i="1"/>
  <c r="N166" i="1"/>
  <c r="N159" i="1"/>
  <c r="N153" i="1"/>
  <c r="N148" i="1"/>
  <c r="N142" i="1"/>
  <c r="N130" i="1"/>
  <c r="N123" i="1"/>
  <c r="N110" i="1"/>
  <c r="N103" i="1"/>
  <c r="N97" i="1"/>
  <c r="N90" i="1"/>
  <c r="N84" i="1"/>
  <c r="N78" i="1"/>
  <c r="N72" i="1"/>
  <c r="N58" i="1"/>
  <c r="N51" i="1"/>
  <c r="N33" i="1"/>
  <c r="N29" i="1"/>
  <c r="N101" i="1"/>
  <c r="N81" i="1"/>
  <c r="N69" i="1"/>
  <c r="N261" i="1"/>
  <c r="N263" i="1"/>
  <c r="N258" i="1"/>
  <c r="N252" i="1"/>
  <c r="N246" i="1"/>
  <c r="N235" i="1"/>
  <c r="N224" i="1"/>
  <c r="N217" i="1"/>
  <c r="N206" i="1"/>
  <c r="N183" i="1"/>
  <c r="N177" i="1"/>
  <c r="N165" i="1"/>
  <c r="N141" i="1"/>
  <c r="N135" i="1"/>
  <c r="N129" i="1"/>
  <c r="N122" i="1"/>
  <c r="N116" i="1"/>
  <c r="N109" i="1"/>
  <c r="N89" i="1"/>
  <c r="N83" i="1"/>
  <c r="N77" i="1"/>
  <c r="N71" i="1"/>
  <c r="N64" i="1"/>
  <c r="N57" i="1"/>
  <c r="N50" i="1"/>
  <c r="N44" i="1"/>
  <c r="N39" i="1"/>
  <c r="Q23" i="1"/>
  <c r="L63" i="1"/>
  <c r="L43" i="1"/>
  <c r="L39" i="1"/>
  <c r="L248" i="1"/>
  <c r="L232" i="1"/>
  <c r="L192" i="1"/>
  <c r="L184" i="1"/>
  <c r="L176" i="1"/>
  <c r="L168" i="1"/>
  <c r="L128" i="1"/>
  <c r="L112" i="1"/>
  <c r="L104" i="1"/>
  <c r="L48" i="1"/>
  <c r="L40" i="1"/>
  <c r="L199" i="1"/>
  <c r="L151" i="1"/>
  <c r="L135" i="1"/>
  <c r="L119" i="1"/>
  <c r="L262" i="1"/>
  <c r="L238" i="1"/>
  <c r="L206" i="1"/>
  <c r="L182" i="1"/>
  <c r="L158" i="1"/>
  <c r="L134" i="1"/>
  <c r="L102" i="1"/>
  <c r="L30" i="1"/>
  <c r="L29" i="1"/>
  <c r="L236" i="1"/>
  <c r="L28" i="1"/>
  <c r="L251" i="1"/>
  <c r="L243" i="1"/>
  <c r="L227" i="1"/>
  <c r="L219" i="1"/>
  <c r="L211" i="1"/>
  <c r="L171" i="1"/>
  <c r="L155" i="1"/>
  <c r="L147" i="1"/>
  <c r="L131" i="1"/>
  <c r="L75" i="1"/>
  <c r="L186" i="1"/>
  <c r="L26" i="1"/>
  <c r="L33" i="1"/>
  <c r="Y110" i="1"/>
  <c r="O110" i="1" s="1"/>
  <c r="O22" i="1"/>
  <c r="O18" i="1"/>
  <c r="O14" i="1"/>
  <c r="AA208" i="1"/>
  <c r="U208" i="1" s="1"/>
  <c r="O11" i="1"/>
  <c r="N19" i="1"/>
  <c r="O23" i="1"/>
  <c r="O19" i="1"/>
  <c r="O15" i="1"/>
  <c r="X11" i="1"/>
  <c r="N18" i="1"/>
  <c r="Y161" i="1"/>
  <c r="N11" i="1"/>
  <c r="N17" i="1"/>
  <c r="N24" i="1"/>
  <c r="N16" i="1"/>
  <c r="N23" i="1"/>
  <c r="N15" i="1"/>
  <c r="O21" i="1"/>
  <c r="O17" i="1"/>
  <c r="O13" i="1"/>
  <c r="N22" i="1"/>
  <c r="N14" i="1"/>
  <c r="X96" i="1"/>
  <c r="N21" i="1"/>
  <c r="N13" i="1"/>
  <c r="O24" i="1"/>
  <c r="O20" i="1"/>
  <c r="O16" i="1"/>
  <c r="O12" i="1"/>
  <c r="N20" i="1"/>
  <c r="N12" i="1"/>
  <c r="X150" i="1"/>
  <c r="Y107" i="1"/>
  <c r="Y86" i="1"/>
  <c r="Y250" i="1"/>
  <c r="O250" i="1" s="1"/>
  <c r="X46" i="1"/>
  <c r="Y166" i="1"/>
  <c r="Y254" i="1"/>
  <c r="X219" i="1"/>
  <c r="Y130" i="1"/>
  <c r="Y163" i="1"/>
  <c r="X75" i="1"/>
  <c r="AA224" i="1"/>
  <c r="X147" i="1"/>
  <c r="Y257" i="1"/>
  <c r="X78" i="1"/>
  <c r="Y71" i="1"/>
  <c r="O71" i="1" s="1"/>
  <c r="F11" i="1"/>
  <c r="X243" i="1"/>
  <c r="AA228" i="1"/>
  <c r="Y225" i="1"/>
  <c r="X191" i="1"/>
  <c r="X259" i="1"/>
  <c r="Y231" i="1"/>
  <c r="Y121" i="1"/>
  <c r="O121" i="1" s="1"/>
  <c r="Y51" i="1"/>
  <c r="X227" i="1"/>
  <c r="Y201" i="1"/>
  <c r="X186" i="1"/>
  <c r="Y183" i="1"/>
  <c r="Y154" i="1"/>
  <c r="Y70" i="1"/>
  <c r="AA248" i="1"/>
  <c r="U248" i="1" s="1"/>
  <c r="X251" i="1"/>
  <c r="X248" i="1"/>
  <c r="Y237" i="1"/>
  <c r="AA192" i="1"/>
  <c r="Y127" i="1"/>
  <c r="AA72" i="1"/>
  <c r="Y50" i="1"/>
  <c r="X43" i="1"/>
  <c r="F19" i="1"/>
  <c r="AA251" i="1"/>
  <c r="U251" i="1" s="1"/>
  <c r="AA48" i="1"/>
  <c r="Y222" i="1"/>
  <c r="Y242" i="1"/>
  <c r="Y235" i="1"/>
  <c r="X211" i="1"/>
  <c r="Y178" i="1"/>
  <c r="AA88" i="1"/>
  <c r="AA64" i="1"/>
  <c r="X13" i="1"/>
  <c r="X262" i="1"/>
  <c r="X256" i="1"/>
  <c r="AA227" i="1"/>
  <c r="Y218" i="1"/>
  <c r="AA211" i="1"/>
  <c r="Y190" i="1"/>
  <c r="X135" i="1"/>
  <c r="Y129" i="1"/>
  <c r="X120" i="1"/>
  <c r="AA160" i="1"/>
  <c r="AA135" i="1"/>
  <c r="X102" i="1"/>
  <c r="X87" i="1"/>
  <c r="X63" i="1"/>
  <c r="AA219" i="1"/>
  <c r="AA136" i="1"/>
  <c r="AA236" i="1"/>
  <c r="X258" i="1"/>
  <c r="X236" i="1"/>
  <c r="X226" i="1"/>
  <c r="Y210" i="1"/>
  <c r="X192" i="1"/>
  <c r="X155" i="1"/>
  <c r="X152" i="1"/>
  <c r="X131" i="1"/>
  <c r="AA119" i="1"/>
  <c r="AA184" i="1"/>
  <c r="AA39" i="1"/>
  <c r="Y249" i="1"/>
  <c r="AA232" i="1"/>
  <c r="U232" i="1" s="1"/>
  <c r="X202" i="1"/>
  <c r="X158" i="1"/>
  <c r="AA155" i="1"/>
  <c r="AA152" i="1"/>
  <c r="U152" i="1" s="1"/>
  <c r="Y137" i="1"/>
  <c r="X134" i="1"/>
  <c r="X128" i="1"/>
  <c r="Y83" i="1"/>
  <c r="D24" i="1"/>
  <c r="D20" i="1"/>
  <c r="D17" i="1"/>
  <c r="E17" i="1" s="1"/>
  <c r="D16" i="1"/>
  <c r="D23" i="1"/>
  <c r="D15" i="1"/>
  <c r="D12" i="1"/>
  <c r="E12" i="1" s="1"/>
  <c r="E22" i="1"/>
  <c r="F22" i="1" s="1"/>
  <c r="E14" i="1"/>
  <c r="F14" i="1" s="1"/>
  <c r="E18" i="1"/>
  <c r="F18" i="1" s="1"/>
  <c r="E21" i="1"/>
  <c r="F21" i="1" s="1"/>
  <c r="E13" i="1"/>
  <c r="F13" i="1" s="1"/>
  <c r="AA63" i="1"/>
  <c r="AA75" i="1"/>
  <c r="X240" i="1"/>
  <c r="X232" i="1"/>
  <c r="X214" i="1"/>
  <c r="X199" i="1"/>
  <c r="AA120" i="1"/>
  <c r="Y105" i="1"/>
  <c r="X99" i="1"/>
  <c r="AA56" i="1"/>
  <c r="X40" i="1"/>
  <c r="Y234" i="1"/>
  <c r="AA216" i="1"/>
  <c r="Y207" i="1"/>
  <c r="AA179" i="1"/>
  <c r="U179" i="1" s="1"/>
  <c r="AA176" i="1"/>
  <c r="U176" i="1" s="1"/>
  <c r="Y142" i="1"/>
  <c r="Y139" i="1"/>
  <c r="X119" i="1"/>
  <c r="Y55" i="1"/>
  <c r="Y253" i="1"/>
  <c r="Y239" i="1"/>
  <c r="X224" i="1"/>
  <c r="X194" i="1"/>
  <c r="AA104" i="1"/>
  <c r="U104" i="1" s="1"/>
  <c r="Y98" i="1"/>
  <c r="Y89" i="1"/>
  <c r="Y65" i="1"/>
  <c r="AA199" i="1"/>
  <c r="Y25" i="1"/>
  <c r="X264" i="1"/>
  <c r="AA252" i="1"/>
  <c r="Y241" i="1"/>
  <c r="X228" i="1"/>
  <c r="Y215" i="1"/>
  <c r="Y209" i="1"/>
  <c r="X200" i="1"/>
  <c r="AA191" i="1"/>
  <c r="X171" i="1"/>
  <c r="Y162" i="1"/>
  <c r="Y118" i="1"/>
  <c r="Y115" i="1"/>
  <c r="Y106" i="1"/>
  <c r="Y103" i="1"/>
  <c r="Y95" i="1"/>
  <c r="Y54" i="1"/>
  <c r="AA240" i="1"/>
  <c r="AA264" i="1"/>
  <c r="X252" i="1"/>
  <c r="X238" i="1"/>
  <c r="Y223" i="1"/>
  <c r="X206" i="1"/>
  <c r="Y187" i="1"/>
  <c r="X174" i="1"/>
  <c r="AA171" i="1"/>
  <c r="Y167" i="1"/>
  <c r="Y138" i="1"/>
  <c r="Y97" i="1"/>
  <c r="X88" i="1"/>
  <c r="Y73" i="1"/>
  <c r="Y67" i="1"/>
  <c r="AA87" i="1"/>
  <c r="AA151" i="1"/>
  <c r="X182" i="1"/>
  <c r="X179" i="1"/>
  <c r="Y177" i="1"/>
  <c r="Y153" i="1"/>
  <c r="X151" i="1"/>
  <c r="Y57" i="1"/>
  <c r="AA40" i="1"/>
  <c r="Y143" i="1"/>
  <c r="Y126" i="1"/>
  <c r="Y123" i="1"/>
  <c r="Y111" i="1"/>
  <c r="Y94" i="1"/>
  <c r="Y91" i="1"/>
  <c r="Y79" i="1"/>
  <c r="Y74" i="1"/>
  <c r="X64" i="1"/>
  <c r="Y62" i="1"/>
  <c r="Y59" i="1"/>
  <c r="Y47" i="1"/>
  <c r="Y42" i="1"/>
  <c r="AA194" i="1"/>
  <c r="AA174" i="1"/>
  <c r="AA259" i="1"/>
  <c r="Y233" i="1"/>
  <c r="Y169" i="1"/>
  <c r="AA147" i="1"/>
  <c r="Y145" i="1"/>
  <c r="AA128" i="1"/>
  <c r="Y113" i="1"/>
  <c r="AA96" i="1"/>
  <c r="Y81" i="1"/>
  <c r="Y49" i="1"/>
  <c r="X39" i="1"/>
  <c r="Y66" i="1"/>
  <c r="X56" i="1"/>
  <c r="Y263" i="1"/>
  <c r="AA258" i="1"/>
  <c r="AA226" i="1"/>
  <c r="AA206" i="1"/>
  <c r="U206" i="1" s="1"/>
  <c r="X30" i="1"/>
  <c r="Y261" i="1"/>
  <c r="AA256" i="1"/>
  <c r="AA244" i="1"/>
  <c r="Y217" i="1"/>
  <c r="X208" i="1"/>
  <c r="X203" i="1"/>
  <c r="Y185" i="1"/>
  <c r="Y159" i="1"/>
  <c r="AA43" i="1"/>
  <c r="Y41" i="1"/>
  <c r="X22" i="1"/>
  <c r="AA203" i="1"/>
  <c r="X168" i="1"/>
  <c r="X144" i="1"/>
  <c r="Y122" i="1"/>
  <c r="X112" i="1"/>
  <c r="Y90" i="1"/>
  <c r="X80" i="1"/>
  <c r="Y58" i="1"/>
  <c r="X48" i="1"/>
  <c r="Y38" i="1"/>
  <c r="Y35" i="1"/>
  <c r="AA144" i="1"/>
  <c r="U144" i="1" s="1"/>
  <c r="AA131" i="1"/>
  <c r="AA112" i="1"/>
  <c r="AA99" i="1"/>
  <c r="AA80" i="1"/>
  <c r="U80" i="1" s="1"/>
  <c r="AA262" i="1"/>
  <c r="Y255" i="1"/>
  <c r="Y246" i="1"/>
  <c r="Y230" i="1"/>
  <c r="AA202" i="1"/>
  <c r="Y198" i="1"/>
  <c r="Y195" i="1"/>
  <c r="AA186" i="1"/>
  <c r="Y175" i="1"/>
  <c r="Y170" i="1"/>
  <c r="AA168" i="1"/>
  <c r="AA243" i="1"/>
  <c r="X216" i="1"/>
  <c r="AA200" i="1"/>
  <c r="Y193" i="1"/>
  <c r="X184" i="1"/>
  <c r="AA158" i="1"/>
  <c r="Y146" i="1"/>
  <c r="X136" i="1"/>
  <c r="Y114" i="1"/>
  <c r="X104" i="1"/>
  <c r="Y82" i="1"/>
  <c r="X72" i="1"/>
  <c r="X149" i="1"/>
  <c r="Y149" i="1"/>
  <c r="X69" i="1"/>
  <c r="Y69" i="1"/>
  <c r="X188" i="1"/>
  <c r="Y188" i="1"/>
  <c r="Y260" i="1"/>
  <c r="Y247" i="1"/>
  <c r="X205" i="1"/>
  <c r="Y205" i="1"/>
  <c r="X197" i="1"/>
  <c r="Y197" i="1"/>
  <c r="X101" i="1"/>
  <c r="Y101" i="1"/>
  <c r="Y265" i="1"/>
  <c r="Y245" i="1"/>
  <c r="X196" i="1"/>
  <c r="Y196" i="1"/>
  <c r="X157" i="1"/>
  <c r="Y157" i="1"/>
  <c r="AA150" i="1"/>
  <c r="AA134" i="1"/>
  <c r="AA102" i="1"/>
  <c r="X85" i="1"/>
  <c r="Y85" i="1"/>
  <c r="X213" i="1"/>
  <c r="Y213" i="1"/>
  <c r="X181" i="1"/>
  <c r="Y181" i="1"/>
  <c r="X141" i="1"/>
  <c r="Y141" i="1"/>
  <c r="X125" i="1"/>
  <c r="Y125" i="1"/>
  <c r="X109" i="1"/>
  <c r="Y109" i="1"/>
  <c r="X93" i="1"/>
  <c r="Y93" i="1"/>
  <c r="X77" i="1"/>
  <c r="Y77" i="1"/>
  <c r="X61" i="1"/>
  <c r="Y61" i="1"/>
  <c r="X45" i="1"/>
  <c r="Y45" i="1"/>
  <c r="X204" i="1"/>
  <c r="Y204" i="1"/>
  <c r="X176" i="1"/>
  <c r="X133" i="1"/>
  <c r="Y133" i="1"/>
  <c r="X53" i="1"/>
  <c r="Y53" i="1"/>
  <c r="X220" i="1"/>
  <c r="Y220" i="1"/>
  <c r="X173" i="1"/>
  <c r="Y173" i="1"/>
  <c r="X221" i="1"/>
  <c r="Y221" i="1"/>
  <c r="X189" i="1"/>
  <c r="Y189" i="1"/>
  <c r="X165" i="1"/>
  <c r="Y165" i="1"/>
  <c r="X37" i="1"/>
  <c r="Y37" i="1"/>
  <c r="X117" i="1"/>
  <c r="Y117" i="1"/>
  <c r="X244" i="1"/>
  <c r="AA238" i="1"/>
  <c r="X229" i="1"/>
  <c r="Y229" i="1"/>
  <c r="AA214" i="1"/>
  <c r="X212" i="1"/>
  <c r="Y212" i="1"/>
  <c r="AA182" i="1"/>
  <c r="U182" i="1" s="1"/>
  <c r="X160" i="1"/>
  <c r="AA78" i="1"/>
  <c r="AA46" i="1"/>
  <c r="Y180" i="1"/>
  <c r="Y172" i="1"/>
  <c r="Y164" i="1"/>
  <c r="Y156" i="1"/>
  <c r="Y148" i="1"/>
  <c r="Y140" i="1"/>
  <c r="Y132" i="1"/>
  <c r="Y124" i="1"/>
  <c r="Y116" i="1"/>
  <c r="Y108" i="1"/>
  <c r="Y100" i="1"/>
  <c r="Y92" i="1"/>
  <c r="Y84" i="1"/>
  <c r="Y76" i="1"/>
  <c r="Y68" i="1"/>
  <c r="Y60" i="1"/>
  <c r="Y52" i="1"/>
  <c r="Y44" i="1"/>
  <c r="Y36" i="1"/>
  <c r="Y34" i="1"/>
  <c r="X29" i="1"/>
  <c r="X21" i="1"/>
  <c r="X28" i="1"/>
  <c r="X20" i="1"/>
  <c r="X12" i="1"/>
  <c r="X14" i="1"/>
  <c r="X27" i="1"/>
  <c r="X19" i="1"/>
  <c r="X26" i="1"/>
  <c r="X18" i="1"/>
  <c r="X33" i="1"/>
  <c r="X17" i="1"/>
  <c r="X32" i="1"/>
  <c r="X24" i="1"/>
  <c r="X16" i="1"/>
  <c r="AA18" i="1"/>
  <c r="X31" i="1"/>
  <c r="X23" i="1"/>
  <c r="X15" i="1"/>
  <c r="AA28" i="1"/>
  <c r="AA31" i="1"/>
  <c r="AA24" i="1"/>
  <c r="AA16" i="1"/>
  <c r="AA12" i="1"/>
  <c r="U12" i="1" s="1"/>
  <c r="AA30" i="1"/>
  <c r="AA19" i="1"/>
  <c r="AA22" i="1"/>
  <c r="AA33" i="1"/>
  <c r="AA27" i="1"/>
  <c r="AA21" i="1"/>
  <c r="AA23" i="1"/>
  <c r="AA17" i="1"/>
  <c r="AA32" i="1"/>
  <c r="AA29" i="1"/>
  <c r="AA26" i="1"/>
  <c r="AA20" i="1"/>
  <c r="AA15" i="1"/>
  <c r="AA13" i="1"/>
  <c r="AA14" i="1"/>
  <c r="T17" i="1" l="1"/>
  <c r="U17" i="1"/>
  <c r="T18" i="1"/>
  <c r="U18" i="1"/>
  <c r="T14" i="1"/>
  <c r="U14" i="1"/>
  <c r="T16" i="1"/>
  <c r="U16" i="1"/>
  <c r="T13" i="1"/>
  <c r="U13" i="1"/>
  <c r="T21" i="1"/>
  <c r="U21" i="1"/>
  <c r="T24" i="1"/>
  <c r="U24" i="1"/>
  <c r="T214" i="1"/>
  <c r="U214" i="1"/>
  <c r="T150" i="1"/>
  <c r="U150" i="1"/>
  <c r="T243" i="1"/>
  <c r="U243" i="1"/>
  <c r="T259" i="1"/>
  <c r="U259" i="1"/>
  <c r="T40" i="1"/>
  <c r="U40" i="1"/>
  <c r="T87" i="1"/>
  <c r="U87" i="1"/>
  <c r="T191" i="1"/>
  <c r="U191" i="1"/>
  <c r="T136" i="1"/>
  <c r="U136" i="1"/>
  <c r="T48" i="1"/>
  <c r="U48" i="1"/>
  <c r="T228" i="1"/>
  <c r="U228" i="1"/>
  <c r="L24" i="1"/>
  <c r="I24" i="1"/>
  <c r="J24" i="1"/>
  <c r="K24" i="1"/>
  <c r="I21" i="1"/>
  <c r="J21" i="1"/>
  <c r="K21" i="1"/>
  <c r="K14" i="1"/>
  <c r="I14" i="1"/>
  <c r="J14" i="1"/>
  <c r="L202" i="1"/>
  <c r="I202" i="1"/>
  <c r="J202" i="1"/>
  <c r="K202" i="1"/>
  <c r="L203" i="1"/>
  <c r="I203" i="1"/>
  <c r="J203" i="1"/>
  <c r="K203" i="1"/>
  <c r="I48" i="1"/>
  <c r="J48" i="1"/>
  <c r="K48" i="1"/>
  <c r="I112" i="1"/>
  <c r="J112" i="1"/>
  <c r="K112" i="1"/>
  <c r="I184" i="1"/>
  <c r="J184" i="1"/>
  <c r="K184" i="1"/>
  <c r="I236" i="1"/>
  <c r="K236" i="1"/>
  <c r="J236" i="1"/>
  <c r="K30" i="1"/>
  <c r="I30" i="1"/>
  <c r="J30" i="1"/>
  <c r="I43" i="1"/>
  <c r="J43" i="1"/>
  <c r="K43" i="1"/>
  <c r="J151" i="1"/>
  <c r="K151" i="1"/>
  <c r="I151" i="1"/>
  <c r="I227" i="1"/>
  <c r="J227" i="1"/>
  <c r="K227" i="1"/>
  <c r="T31" i="1"/>
  <c r="U31" i="1"/>
  <c r="T168" i="1"/>
  <c r="U168" i="1"/>
  <c r="T226" i="1"/>
  <c r="U226" i="1"/>
  <c r="T96" i="1"/>
  <c r="U96" i="1"/>
  <c r="T174" i="1"/>
  <c r="U174" i="1"/>
  <c r="T199" i="1"/>
  <c r="U199" i="1"/>
  <c r="T216" i="1"/>
  <c r="U216" i="1"/>
  <c r="T219" i="1"/>
  <c r="U219" i="1"/>
  <c r="T64" i="1"/>
  <c r="U64" i="1"/>
  <c r="I18" i="1"/>
  <c r="J18" i="1"/>
  <c r="K18" i="1"/>
  <c r="L46" i="1"/>
  <c r="K46" i="1"/>
  <c r="I46" i="1"/>
  <c r="J46" i="1"/>
  <c r="K206" i="1"/>
  <c r="I206" i="1"/>
  <c r="J206" i="1"/>
  <c r="L31" i="1"/>
  <c r="I31" i="1"/>
  <c r="J31" i="1"/>
  <c r="K31" i="1"/>
  <c r="L56" i="1"/>
  <c r="I56" i="1"/>
  <c r="J56" i="1"/>
  <c r="K56" i="1"/>
  <c r="L120" i="1"/>
  <c r="I120" i="1"/>
  <c r="J120" i="1"/>
  <c r="K120" i="1"/>
  <c r="I192" i="1"/>
  <c r="J192" i="1"/>
  <c r="K192" i="1"/>
  <c r="L240" i="1"/>
  <c r="I240" i="1"/>
  <c r="J240" i="1"/>
  <c r="K240" i="1"/>
  <c r="I63" i="1"/>
  <c r="J63" i="1"/>
  <c r="K63" i="1"/>
  <c r="I155" i="1"/>
  <c r="J155" i="1"/>
  <c r="K155" i="1"/>
  <c r="I243" i="1"/>
  <c r="J243" i="1"/>
  <c r="K243" i="1"/>
  <c r="T15" i="1"/>
  <c r="U15" i="1"/>
  <c r="T20" i="1"/>
  <c r="U20" i="1"/>
  <c r="T33" i="1"/>
  <c r="U33" i="1"/>
  <c r="T28" i="1"/>
  <c r="U28" i="1"/>
  <c r="T46" i="1"/>
  <c r="U46" i="1"/>
  <c r="T258" i="1"/>
  <c r="U258" i="1"/>
  <c r="T194" i="1"/>
  <c r="U194" i="1"/>
  <c r="T88" i="1"/>
  <c r="U88" i="1"/>
  <c r="R11" i="1"/>
  <c r="I15" i="1"/>
  <c r="J15" i="1"/>
  <c r="K15" i="1"/>
  <c r="K22" i="1"/>
  <c r="I22" i="1"/>
  <c r="J22" i="1"/>
  <c r="L78" i="1"/>
  <c r="K78" i="1"/>
  <c r="I78" i="1"/>
  <c r="J78" i="1"/>
  <c r="L214" i="1"/>
  <c r="K214" i="1"/>
  <c r="I214" i="1"/>
  <c r="J214" i="1"/>
  <c r="L64" i="1"/>
  <c r="I64" i="1"/>
  <c r="J64" i="1"/>
  <c r="K64" i="1"/>
  <c r="L136" i="1"/>
  <c r="I136" i="1"/>
  <c r="J136" i="1"/>
  <c r="K136" i="1"/>
  <c r="L200" i="1"/>
  <c r="I200" i="1"/>
  <c r="J200" i="1"/>
  <c r="K200" i="1"/>
  <c r="L244" i="1"/>
  <c r="J244" i="1"/>
  <c r="K244" i="1"/>
  <c r="I244" i="1"/>
  <c r="I75" i="1"/>
  <c r="J75" i="1"/>
  <c r="K75" i="1"/>
  <c r="I171" i="1"/>
  <c r="J171" i="1"/>
  <c r="K171" i="1"/>
  <c r="I251" i="1"/>
  <c r="J251" i="1"/>
  <c r="K251" i="1"/>
  <c r="T27" i="1"/>
  <c r="U27" i="1"/>
  <c r="T26" i="1"/>
  <c r="U26" i="1"/>
  <c r="T22" i="1"/>
  <c r="U22" i="1"/>
  <c r="T78" i="1"/>
  <c r="U78" i="1"/>
  <c r="T238" i="1"/>
  <c r="U238" i="1"/>
  <c r="T158" i="1"/>
  <c r="U158" i="1"/>
  <c r="T262" i="1"/>
  <c r="U262" i="1"/>
  <c r="T203" i="1"/>
  <c r="U203" i="1"/>
  <c r="T128" i="1"/>
  <c r="U128" i="1"/>
  <c r="T211" i="1"/>
  <c r="U211" i="1"/>
  <c r="L121" i="1"/>
  <c r="J121" i="1"/>
  <c r="I121" i="1"/>
  <c r="K121" i="1"/>
  <c r="L71" i="1"/>
  <c r="I71" i="1"/>
  <c r="J71" i="1"/>
  <c r="K71" i="1"/>
  <c r="I19" i="1"/>
  <c r="J19" i="1"/>
  <c r="K19" i="1"/>
  <c r="L110" i="1"/>
  <c r="K110" i="1"/>
  <c r="I110" i="1"/>
  <c r="J110" i="1"/>
  <c r="K102" i="1"/>
  <c r="I102" i="1"/>
  <c r="J102" i="1"/>
  <c r="L226" i="1"/>
  <c r="I226" i="1"/>
  <c r="J226" i="1"/>
  <c r="K226" i="1"/>
  <c r="L72" i="1"/>
  <c r="I72" i="1"/>
  <c r="J72" i="1"/>
  <c r="K72" i="1"/>
  <c r="L144" i="1"/>
  <c r="I144" i="1"/>
  <c r="J144" i="1"/>
  <c r="K144" i="1"/>
  <c r="L208" i="1"/>
  <c r="I208" i="1"/>
  <c r="J208" i="1"/>
  <c r="K208" i="1"/>
  <c r="I248" i="1"/>
  <c r="J248" i="1"/>
  <c r="K248" i="1"/>
  <c r="L99" i="1"/>
  <c r="I99" i="1"/>
  <c r="J99" i="1"/>
  <c r="K99" i="1"/>
  <c r="L179" i="1"/>
  <c r="I179" i="1"/>
  <c r="J179" i="1"/>
  <c r="K179" i="1"/>
  <c r="L259" i="1"/>
  <c r="I259" i="1"/>
  <c r="J259" i="1"/>
  <c r="K259" i="1"/>
  <c r="I128" i="1"/>
  <c r="J128" i="1"/>
  <c r="K128" i="1"/>
  <c r="T186" i="1"/>
  <c r="U186" i="1"/>
  <c r="T244" i="1"/>
  <c r="U244" i="1"/>
  <c r="T56" i="1"/>
  <c r="U56" i="1"/>
  <c r="T75" i="1"/>
  <c r="U75" i="1"/>
  <c r="T39" i="1"/>
  <c r="U39" i="1"/>
  <c r="I23" i="1"/>
  <c r="J23" i="1"/>
  <c r="K23" i="1"/>
  <c r="L150" i="1"/>
  <c r="K150" i="1"/>
  <c r="I150" i="1"/>
  <c r="J150" i="1"/>
  <c r="L258" i="1"/>
  <c r="I258" i="1"/>
  <c r="J258" i="1"/>
  <c r="K258" i="1"/>
  <c r="L80" i="1"/>
  <c r="I80" i="1"/>
  <c r="J80" i="1"/>
  <c r="K80" i="1"/>
  <c r="L152" i="1"/>
  <c r="I152" i="1"/>
  <c r="J152" i="1"/>
  <c r="K152" i="1"/>
  <c r="L216" i="1"/>
  <c r="I216" i="1"/>
  <c r="J216" i="1"/>
  <c r="K216" i="1"/>
  <c r="L252" i="1"/>
  <c r="J252" i="1"/>
  <c r="K252" i="1"/>
  <c r="I252" i="1"/>
  <c r="J119" i="1"/>
  <c r="K119" i="1"/>
  <c r="I119" i="1"/>
  <c r="L191" i="1"/>
  <c r="J191" i="1"/>
  <c r="K191" i="1"/>
  <c r="I191" i="1"/>
  <c r="I29" i="1"/>
  <c r="J29" i="1"/>
  <c r="K29" i="1"/>
  <c r="T99" i="1"/>
  <c r="U99" i="1"/>
  <c r="T256" i="1"/>
  <c r="U256" i="1"/>
  <c r="T147" i="1"/>
  <c r="U147" i="1"/>
  <c r="T63" i="1"/>
  <c r="U63" i="1"/>
  <c r="T184" i="1"/>
  <c r="U184" i="1"/>
  <c r="T135" i="1"/>
  <c r="U135" i="1"/>
  <c r="T227" i="1"/>
  <c r="U227" i="1"/>
  <c r="T72" i="1"/>
  <c r="U72" i="1"/>
  <c r="I12" i="1"/>
  <c r="J12" i="1"/>
  <c r="K12" i="1"/>
  <c r="K158" i="1"/>
  <c r="I158" i="1"/>
  <c r="J158" i="1"/>
  <c r="I28" i="1"/>
  <c r="J28" i="1"/>
  <c r="K28" i="1"/>
  <c r="L88" i="1"/>
  <c r="I88" i="1"/>
  <c r="J88" i="1"/>
  <c r="K88" i="1"/>
  <c r="L160" i="1"/>
  <c r="I160" i="1"/>
  <c r="J160" i="1"/>
  <c r="K160" i="1"/>
  <c r="L224" i="1"/>
  <c r="I224" i="1"/>
  <c r="J224" i="1"/>
  <c r="K224" i="1"/>
  <c r="L256" i="1"/>
  <c r="I256" i="1"/>
  <c r="J256" i="1"/>
  <c r="K256" i="1"/>
  <c r="I131" i="1"/>
  <c r="J131" i="1"/>
  <c r="K131" i="1"/>
  <c r="J199" i="1"/>
  <c r="K199" i="1"/>
  <c r="I199" i="1"/>
  <c r="J33" i="1"/>
  <c r="K33" i="1"/>
  <c r="I33" i="1"/>
  <c r="T29" i="1"/>
  <c r="U29" i="1"/>
  <c r="T32" i="1"/>
  <c r="U32" i="1"/>
  <c r="T30" i="1"/>
  <c r="U30" i="1"/>
  <c r="T102" i="1"/>
  <c r="U102" i="1"/>
  <c r="T200" i="1"/>
  <c r="U200" i="1"/>
  <c r="T112" i="1"/>
  <c r="U112" i="1"/>
  <c r="T43" i="1"/>
  <c r="U43" i="1"/>
  <c r="T264" i="1"/>
  <c r="U264" i="1"/>
  <c r="T252" i="1"/>
  <c r="U252" i="1"/>
  <c r="T119" i="1"/>
  <c r="U119" i="1"/>
  <c r="T160" i="1"/>
  <c r="U160" i="1"/>
  <c r="I16" i="1"/>
  <c r="J16" i="1"/>
  <c r="K16" i="1"/>
  <c r="I13" i="1"/>
  <c r="J13" i="1"/>
  <c r="K13" i="1"/>
  <c r="J11" i="1"/>
  <c r="I11" i="1"/>
  <c r="K11" i="1"/>
  <c r="L174" i="1"/>
  <c r="K174" i="1"/>
  <c r="I174" i="1"/>
  <c r="J174" i="1"/>
  <c r="L32" i="1"/>
  <c r="I32" i="1"/>
  <c r="J32" i="1"/>
  <c r="K32" i="1"/>
  <c r="L96" i="1"/>
  <c r="I96" i="1"/>
  <c r="J96" i="1"/>
  <c r="K96" i="1"/>
  <c r="I168" i="1"/>
  <c r="J168" i="1"/>
  <c r="K168" i="1"/>
  <c r="L228" i="1"/>
  <c r="I228" i="1"/>
  <c r="K228" i="1"/>
  <c r="J228" i="1"/>
  <c r="L264" i="1"/>
  <c r="I264" i="1"/>
  <c r="J264" i="1"/>
  <c r="K264" i="1"/>
  <c r="J135" i="1"/>
  <c r="K135" i="1"/>
  <c r="I135" i="1"/>
  <c r="I211" i="1"/>
  <c r="J211" i="1"/>
  <c r="K211" i="1"/>
  <c r="T19" i="1"/>
  <c r="U19" i="1"/>
  <c r="T23" i="1"/>
  <c r="U23" i="1"/>
  <c r="T134" i="1"/>
  <c r="U134" i="1"/>
  <c r="T202" i="1"/>
  <c r="U202" i="1"/>
  <c r="T131" i="1"/>
  <c r="U131" i="1"/>
  <c r="T151" i="1"/>
  <c r="U151" i="1"/>
  <c r="T171" i="1"/>
  <c r="U171" i="1"/>
  <c r="T240" i="1"/>
  <c r="U240" i="1"/>
  <c r="T120" i="1"/>
  <c r="U120" i="1"/>
  <c r="T155" i="1"/>
  <c r="U155" i="1"/>
  <c r="T236" i="1"/>
  <c r="U236" i="1"/>
  <c r="T192" i="1"/>
  <c r="U192" i="1"/>
  <c r="T224" i="1"/>
  <c r="U224" i="1"/>
  <c r="L250" i="1"/>
  <c r="I250" i="1"/>
  <c r="J250" i="1"/>
  <c r="K250" i="1"/>
  <c r="I20" i="1"/>
  <c r="J20" i="1"/>
  <c r="K20" i="1"/>
  <c r="J17" i="1"/>
  <c r="K17" i="1"/>
  <c r="I17" i="1"/>
  <c r="L194" i="1"/>
  <c r="I194" i="1"/>
  <c r="J194" i="1"/>
  <c r="K194" i="1"/>
  <c r="L87" i="1"/>
  <c r="I87" i="1"/>
  <c r="J87" i="1"/>
  <c r="K87" i="1"/>
  <c r="L27" i="1"/>
  <c r="I27" i="1"/>
  <c r="J27" i="1"/>
  <c r="K27" i="1"/>
  <c r="I40" i="1"/>
  <c r="J40" i="1"/>
  <c r="K40" i="1"/>
  <c r="I104" i="1"/>
  <c r="J104" i="1"/>
  <c r="K104" i="1"/>
  <c r="I176" i="1"/>
  <c r="J176" i="1"/>
  <c r="K176" i="1"/>
  <c r="I232" i="1"/>
  <c r="J232" i="1"/>
  <c r="K232" i="1"/>
  <c r="I26" i="1"/>
  <c r="J26" i="1"/>
  <c r="K26" i="1"/>
  <c r="I39" i="1"/>
  <c r="J39" i="1"/>
  <c r="K39" i="1"/>
  <c r="I147" i="1"/>
  <c r="J147" i="1"/>
  <c r="K147" i="1"/>
  <c r="I219" i="1"/>
  <c r="J219" i="1"/>
  <c r="K219" i="1"/>
  <c r="L15" i="1"/>
  <c r="L22" i="1"/>
  <c r="L19" i="1"/>
  <c r="L23" i="1"/>
  <c r="L12" i="1"/>
  <c r="L16" i="1"/>
  <c r="L13" i="1"/>
  <c r="L11" i="1"/>
  <c r="L20" i="1"/>
  <c r="L17" i="1"/>
  <c r="L21" i="1"/>
  <c r="L14" i="1"/>
  <c r="L18" i="1"/>
  <c r="T251" i="1"/>
  <c r="T206" i="1"/>
  <c r="T232" i="1"/>
  <c r="T208" i="1"/>
  <c r="T248" i="1"/>
  <c r="T179" i="1"/>
  <c r="T182" i="1"/>
  <c r="T80" i="1"/>
  <c r="AA250" i="1"/>
  <c r="T104" i="1"/>
  <c r="T144" i="1"/>
  <c r="T176" i="1"/>
  <c r="T152" i="1"/>
  <c r="AA71" i="1"/>
  <c r="E170" i="1"/>
  <c r="F228" i="1"/>
  <c r="E255" i="1"/>
  <c r="E214" i="1"/>
  <c r="F214" i="1" s="1"/>
  <c r="F147" i="1"/>
  <c r="F201" i="1"/>
  <c r="F225" i="1"/>
  <c r="AA110" i="1"/>
  <c r="E242" i="1"/>
  <c r="E42" i="1"/>
  <c r="F42" i="1" s="1"/>
  <c r="E90" i="1"/>
  <c r="F90" i="1" s="1"/>
  <c r="E142" i="1"/>
  <c r="F142" i="1" s="1"/>
  <c r="F122" i="1"/>
  <c r="E154" i="1"/>
  <c r="F154" i="1" s="1"/>
  <c r="E35" i="1"/>
  <c r="F83" i="1"/>
  <c r="F107" i="1"/>
  <c r="F194" i="1"/>
  <c r="E59" i="1"/>
  <c r="F59" i="1" s="1"/>
  <c r="E103" i="1"/>
  <c r="F103" i="1" s="1"/>
  <c r="F162" i="1"/>
  <c r="F215" i="1"/>
  <c r="F258" i="1"/>
  <c r="F226" i="1"/>
  <c r="F262" i="1"/>
  <c r="F230" i="1"/>
  <c r="F247" i="1"/>
  <c r="F74" i="1"/>
  <c r="F106" i="1"/>
  <c r="F119" i="1"/>
  <c r="F114" i="1"/>
  <c r="F186" i="1"/>
  <c r="F259" i="1"/>
  <c r="F27" i="1"/>
  <c r="E62" i="1"/>
  <c r="E182" i="1"/>
  <c r="E79" i="1"/>
  <c r="F79" i="1" s="1"/>
  <c r="F51" i="1"/>
  <c r="F127" i="1"/>
  <c r="E55" i="1"/>
  <c r="F55" i="1" s="1"/>
  <c r="F75" i="1"/>
  <c r="F167" i="1"/>
  <c r="E265" i="1"/>
  <c r="F265" i="1" s="1"/>
  <c r="F241" i="1"/>
  <c r="F151" i="1"/>
  <c r="F58" i="1"/>
  <c r="F174" i="1"/>
  <c r="F46" i="1"/>
  <c r="F78" i="1"/>
  <c r="F94" i="1"/>
  <c r="F118" i="1"/>
  <c r="F150" i="1"/>
  <c r="F130" i="1"/>
  <c r="F190" i="1"/>
  <c r="F135" i="1"/>
  <c r="F175" i="1"/>
  <c r="F231" i="1"/>
  <c r="E253" i="1"/>
  <c r="F253" i="1" s="1"/>
  <c r="F30" i="1"/>
  <c r="F31" i="1"/>
  <c r="F203" i="1"/>
  <c r="E47" i="1"/>
  <c r="F47" i="1" s="1"/>
  <c r="F95" i="1"/>
  <c r="F112" i="1"/>
  <c r="E99" i="1"/>
  <c r="F99" i="1" s="1"/>
  <c r="F143" i="1"/>
  <c r="E87" i="1"/>
  <c r="F87" i="1" s="1"/>
  <c r="F43" i="1"/>
  <c r="F178" i="1"/>
  <c r="E243" i="1"/>
  <c r="F243" i="1" s="1"/>
  <c r="E224" i="1"/>
  <c r="F224" i="1" s="1"/>
  <c r="F34" i="1"/>
  <c r="F50" i="1"/>
  <c r="F66" i="1"/>
  <c r="F82" i="1"/>
  <c r="F98" i="1"/>
  <c r="F126" i="1"/>
  <c r="F158" i="1"/>
  <c r="F110" i="1"/>
  <c r="F146" i="1"/>
  <c r="E219" i="1"/>
  <c r="F219" i="1" s="1"/>
  <c r="F254" i="1"/>
  <c r="F244" i="1"/>
  <c r="F159" i="1"/>
  <c r="E38" i="1"/>
  <c r="F38" i="1" s="1"/>
  <c r="E54" i="1"/>
  <c r="F54" i="1" s="1"/>
  <c r="E70" i="1"/>
  <c r="F70" i="1" s="1"/>
  <c r="E86" i="1"/>
  <c r="F26" i="1"/>
  <c r="E134" i="1"/>
  <c r="F134" i="1" s="1"/>
  <c r="E166" i="1"/>
  <c r="F166" i="1" s="1"/>
  <c r="F71" i="1"/>
  <c r="F63" i="1"/>
  <c r="E138" i="1"/>
  <c r="F138" i="1" s="1"/>
  <c r="E67" i="1"/>
  <c r="F67" i="1" s="1"/>
  <c r="F102" i="1"/>
  <c r="F39" i="1"/>
  <c r="E111" i="1"/>
  <c r="F111" i="1" s="1"/>
  <c r="E91" i="1"/>
  <c r="F91" i="1" s="1"/>
  <c r="E183" i="1"/>
  <c r="F183" i="1" s="1"/>
  <c r="E257" i="1"/>
  <c r="F257" i="1" s="1"/>
  <c r="F261" i="1"/>
  <c r="F191" i="1"/>
  <c r="F246" i="1"/>
  <c r="E223" i="1"/>
  <c r="F223" i="1" s="1"/>
  <c r="F227" i="1"/>
  <c r="F240" i="1"/>
  <c r="F237" i="1"/>
  <c r="F263" i="1"/>
  <c r="AA121" i="1"/>
  <c r="U121" i="1" s="1"/>
  <c r="AA92" i="1"/>
  <c r="U92" i="1" s="1"/>
  <c r="O92" i="1"/>
  <c r="AA89" i="1"/>
  <c r="U89" i="1" s="1"/>
  <c r="O89" i="1"/>
  <c r="AA94" i="1"/>
  <c r="U94" i="1" s="1"/>
  <c r="O94" i="1"/>
  <c r="AA215" i="1"/>
  <c r="O215" i="1"/>
  <c r="AA36" i="1"/>
  <c r="U36" i="1" s="1"/>
  <c r="O36" i="1"/>
  <c r="AA100" i="1"/>
  <c r="U100" i="1" s="1"/>
  <c r="O100" i="1"/>
  <c r="AA164" i="1"/>
  <c r="U164" i="1" s="1"/>
  <c r="O164" i="1"/>
  <c r="AA212" i="1"/>
  <c r="U212" i="1" s="1"/>
  <c r="O212" i="1"/>
  <c r="AA77" i="1"/>
  <c r="U77" i="1" s="1"/>
  <c r="O77" i="1"/>
  <c r="AA141" i="1"/>
  <c r="U141" i="1" s="1"/>
  <c r="O141" i="1"/>
  <c r="AA265" i="1"/>
  <c r="O265" i="1"/>
  <c r="AA260" i="1"/>
  <c r="U260" i="1" s="1"/>
  <c r="O260" i="1"/>
  <c r="AA82" i="1"/>
  <c r="U82" i="1" s="1"/>
  <c r="O82" i="1"/>
  <c r="AA193" i="1"/>
  <c r="U193" i="1" s="1"/>
  <c r="O193" i="1"/>
  <c r="AA58" i="1"/>
  <c r="O58" i="1"/>
  <c r="AA145" i="1"/>
  <c r="U145" i="1" s="1"/>
  <c r="O145" i="1"/>
  <c r="AA47" i="1"/>
  <c r="O47" i="1"/>
  <c r="AA111" i="1"/>
  <c r="O111" i="1"/>
  <c r="AA177" i="1"/>
  <c r="U177" i="1" s="1"/>
  <c r="O177" i="1"/>
  <c r="AA97" i="1"/>
  <c r="U97" i="1" s="1"/>
  <c r="O97" i="1"/>
  <c r="AA115" i="1"/>
  <c r="U115" i="1" s="1"/>
  <c r="O115" i="1"/>
  <c r="AA98" i="1"/>
  <c r="O98" i="1"/>
  <c r="AA249" i="1"/>
  <c r="U249" i="1" s="1"/>
  <c r="O249" i="1"/>
  <c r="AA210" i="1"/>
  <c r="U210" i="1" s="1"/>
  <c r="O210" i="1"/>
  <c r="AA178" i="1"/>
  <c r="U178" i="1" s="1"/>
  <c r="O178" i="1"/>
  <c r="AA117" i="1"/>
  <c r="U117" i="1" s="1"/>
  <c r="O117" i="1"/>
  <c r="AA175" i="1"/>
  <c r="O175" i="1"/>
  <c r="AA190" i="1"/>
  <c r="O190" i="1"/>
  <c r="AA195" i="1"/>
  <c r="U195" i="1" s="1"/>
  <c r="O195" i="1"/>
  <c r="AA41" i="1"/>
  <c r="U41" i="1" s="1"/>
  <c r="O41" i="1"/>
  <c r="AA66" i="1"/>
  <c r="O66" i="1"/>
  <c r="AA59" i="1"/>
  <c r="O59" i="1"/>
  <c r="AA123" i="1"/>
  <c r="U123" i="1" s="1"/>
  <c r="O123" i="1"/>
  <c r="AA138" i="1"/>
  <c r="O138" i="1"/>
  <c r="AA118" i="1"/>
  <c r="U118" i="1" s="1"/>
  <c r="O118" i="1"/>
  <c r="AA241" i="1"/>
  <c r="O241" i="1"/>
  <c r="AA139" i="1"/>
  <c r="U139" i="1" s="1"/>
  <c r="O139" i="1"/>
  <c r="AA218" i="1"/>
  <c r="U218" i="1" s="1"/>
  <c r="O218" i="1"/>
  <c r="AA50" i="1"/>
  <c r="U50" i="1" s="1"/>
  <c r="O50" i="1"/>
  <c r="AA70" i="1"/>
  <c r="O70" i="1"/>
  <c r="AA231" i="1"/>
  <c r="O231" i="1"/>
  <c r="AA254" i="1"/>
  <c r="U254" i="1" s="1"/>
  <c r="O254" i="1"/>
  <c r="AA34" i="1"/>
  <c r="U34" i="1" s="1"/>
  <c r="O34" i="1"/>
  <c r="AA247" i="1"/>
  <c r="U247" i="1" s="1"/>
  <c r="O247" i="1"/>
  <c r="AA217" i="1"/>
  <c r="U217" i="1" s="1"/>
  <c r="O217" i="1"/>
  <c r="AA42" i="1"/>
  <c r="O42" i="1"/>
  <c r="AA223" i="1"/>
  <c r="O223" i="1"/>
  <c r="AA83" i="1"/>
  <c r="O83" i="1"/>
  <c r="AA51" i="1"/>
  <c r="U51" i="1" s="1"/>
  <c r="O51" i="1"/>
  <c r="AA130" i="1"/>
  <c r="U130" i="1" s="1"/>
  <c r="O130" i="1"/>
  <c r="AA172" i="1"/>
  <c r="U172" i="1" s="1"/>
  <c r="O172" i="1"/>
  <c r="AA37" i="1"/>
  <c r="U37" i="1" s="1"/>
  <c r="O37" i="1"/>
  <c r="AA101" i="1"/>
  <c r="U101" i="1" s="1"/>
  <c r="O101" i="1"/>
  <c r="AA188" i="1"/>
  <c r="U188" i="1" s="1"/>
  <c r="O188" i="1"/>
  <c r="AA52" i="1"/>
  <c r="U52" i="1" s="1"/>
  <c r="O52" i="1"/>
  <c r="AA116" i="1"/>
  <c r="U116" i="1" s="1"/>
  <c r="O116" i="1"/>
  <c r="AA180" i="1"/>
  <c r="U180" i="1" s="1"/>
  <c r="O180" i="1"/>
  <c r="AA204" i="1"/>
  <c r="U204" i="1" s="1"/>
  <c r="O204" i="1"/>
  <c r="AA93" i="1"/>
  <c r="U93" i="1" s="1"/>
  <c r="O93" i="1"/>
  <c r="AA181" i="1"/>
  <c r="U181" i="1" s="1"/>
  <c r="O181" i="1"/>
  <c r="AA114" i="1"/>
  <c r="U114" i="1" s="1"/>
  <c r="O114" i="1"/>
  <c r="AA198" i="1"/>
  <c r="U198" i="1" s="1"/>
  <c r="O198" i="1"/>
  <c r="AA90" i="1"/>
  <c r="O90" i="1"/>
  <c r="AA261" i="1"/>
  <c r="O261" i="1"/>
  <c r="AA169" i="1"/>
  <c r="U169" i="1" s="1"/>
  <c r="O169" i="1"/>
  <c r="AA62" i="1"/>
  <c r="U62" i="1" s="1"/>
  <c r="O62" i="1"/>
  <c r="AA126" i="1"/>
  <c r="O126" i="1"/>
  <c r="AA167" i="1"/>
  <c r="O167" i="1"/>
  <c r="AA162" i="1"/>
  <c r="U162" i="1" s="1"/>
  <c r="O162" i="1"/>
  <c r="AA142" i="1"/>
  <c r="O142" i="1"/>
  <c r="AA137" i="1"/>
  <c r="U137" i="1" s="1"/>
  <c r="O137" i="1"/>
  <c r="AA235" i="1"/>
  <c r="U235" i="1" s="1"/>
  <c r="O235" i="1"/>
  <c r="AA154" i="1"/>
  <c r="O154" i="1"/>
  <c r="AA257" i="1"/>
  <c r="O257" i="1"/>
  <c r="AA166" i="1"/>
  <c r="O166" i="1"/>
  <c r="AA156" i="1"/>
  <c r="U156" i="1" s="1"/>
  <c r="O156" i="1"/>
  <c r="AA133" i="1"/>
  <c r="U133" i="1" s="1"/>
  <c r="O133" i="1"/>
  <c r="AA245" i="1"/>
  <c r="U245" i="1" s="1"/>
  <c r="O245" i="1"/>
  <c r="AA234" i="1"/>
  <c r="U234" i="1" s="1"/>
  <c r="O234" i="1"/>
  <c r="AA60" i="1"/>
  <c r="U60" i="1" s="1"/>
  <c r="O60" i="1"/>
  <c r="AA124" i="1"/>
  <c r="U124" i="1" s="1"/>
  <c r="O124" i="1"/>
  <c r="AA229" i="1"/>
  <c r="U229" i="1" s="1"/>
  <c r="O229" i="1"/>
  <c r="AA165" i="1"/>
  <c r="U165" i="1" s="1"/>
  <c r="O165" i="1"/>
  <c r="AA220" i="1"/>
  <c r="U220" i="1" s="1"/>
  <c r="O220" i="1"/>
  <c r="AA157" i="1"/>
  <c r="U157" i="1" s="1"/>
  <c r="O157" i="1"/>
  <c r="AA197" i="1"/>
  <c r="U197" i="1" s="1"/>
  <c r="O197" i="1"/>
  <c r="AA69" i="1"/>
  <c r="U69" i="1" s="1"/>
  <c r="O69" i="1"/>
  <c r="AA159" i="1"/>
  <c r="O159" i="1"/>
  <c r="AA49" i="1"/>
  <c r="U49" i="1" s="1"/>
  <c r="O49" i="1"/>
  <c r="AA233" i="1"/>
  <c r="U233" i="1" s="1"/>
  <c r="O233" i="1"/>
  <c r="AA143" i="1"/>
  <c r="U143" i="1" s="1"/>
  <c r="O143" i="1"/>
  <c r="AA105" i="1"/>
  <c r="U105" i="1" s="1"/>
  <c r="O105" i="1"/>
  <c r="AA242" i="1"/>
  <c r="U242" i="1" s="1"/>
  <c r="O242" i="1"/>
  <c r="AA127" i="1"/>
  <c r="U127" i="1" s="1"/>
  <c r="O127" i="1"/>
  <c r="AA183" i="1"/>
  <c r="O183" i="1"/>
  <c r="AA221" i="1"/>
  <c r="U221" i="1" s="1"/>
  <c r="O221" i="1"/>
  <c r="AA263" i="1"/>
  <c r="U263" i="1" s="1"/>
  <c r="O263" i="1"/>
  <c r="AA106" i="1"/>
  <c r="U106" i="1" s="1"/>
  <c r="O106" i="1"/>
  <c r="AA108" i="1"/>
  <c r="U108" i="1" s="1"/>
  <c r="O108" i="1"/>
  <c r="AA173" i="1"/>
  <c r="U173" i="1" s="1"/>
  <c r="O173" i="1"/>
  <c r="AA68" i="1"/>
  <c r="U68" i="1" s="1"/>
  <c r="O68" i="1"/>
  <c r="AA132" i="1"/>
  <c r="U132" i="1" s="1"/>
  <c r="O132" i="1"/>
  <c r="AA45" i="1"/>
  <c r="U45" i="1" s="1"/>
  <c r="O45" i="1"/>
  <c r="AA109" i="1"/>
  <c r="U109" i="1" s="1"/>
  <c r="O109" i="1"/>
  <c r="AA213" i="1"/>
  <c r="U213" i="1" s="1"/>
  <c r="O213" i="1"/>
  <c r="AA230" i="1"/>
  <c r="U230" i="1" s="1"/>
  <c r="O230" i="1"/>
  <c r="AA122" i="1"/>
  <c r="U122" i="1" s="1"/>
  <c r="O122" i="1"/>
  <c r="AA185" i="1"/>
  <c r="U185" i="1" s="1"/>
  <c r="O185" i="1"/>
  <c r="AA81" i="1"/>
  <c r="U81" i="1" s="1"/>
  <c r="O81" i="1"/>
  <c r="AA74" i="1"/>
  <c r="U74" i="1" s="1"/>
  <c r="O74" i="1"/>
  <c r="AA54" i="1"/>
  <c r="O54" i="1"/>
  <c r="AA25" i="1"/>
  <c r="U25" i="1" s="1"/>
  <c r="O25" i="1"/>
  <c r="AA239" i="1"/>
  <c r="U239" i="1" s="1"/>
  <c r="O239" i="1"/>
  <c r="AA222" i="1"/>
  <c r="U222" i="1" s="1"/>
  <c r="O222" i="1"/>
  <c r="AA225" i="1"/>
  <c r="U225" i="1" s="1"/>
  <c r="O225" i="1"/>
  <c r="AA161" i="1"/>
  <c r="U161" i="1" s="1"/>
  <c r="O161" i="1"/>
  <c r="AA153" i="1"/>
  <c r="U153" i="1" s="1"/>
  <c r="O153" i="1"/>
  <c r="AA44" i="1"/>
  <c r="U44" i="1" s="1"/>
  <c r="O44" i="1"/>
  <c r="AA76" i="1"/>
  <c r="U76" i="1" s="1"/>
  <c r="O76" i="1"/>
  <c r="AA140" i="1"/>
  <c r="U140" i="1" s="1"/>
  <c r="O140" i="1"/>
  <c r="AA189" i="1"/>
  <c r="U189" i="1" s="1"/>
  <c r="O189" i="1"/>
  <c r="AA53" i="1"/>
  <c r="U53" i="1" s="1"/>
  <c r="O53" i="1"/>
  <c r="AA196" i="1"/>
  <c r="U196" i="1" s="1"/>
  <c r="O196" i="1"/>
  <c r="AA205" i="1"/>
  <c r="U205" i="1" s="1"/>
  <c r="O205" i="1"/>
  <c r="AA149" i="1"/>
  <c r="U149" i="1" s="1"/>
  <c r="O149" i="1"/>
  <c r="AA146" i="1"/>
  <c r="U146" i="1" s="1"/>
  <c r="O146" i="1"/>
  <c r="AA246" i="1"/>
  <c r="O246" i="1"/>
  <c r="AA35" i="1"/>
  <c r="U35" i="1" s="1"/>
  <c r="O35" i="1"/>
  <c r="AA79" i="1"/>
  <c r="O79" i="1"/>
  <c r="AA57" i="1"/>
  <c r="U57" i="1" s="1"/>
  <c r="O57" i="1"/>
  <c r="AA67" i="1"/>
  <c r="O67" i="1"/>
  <c r="AA187" i="1"/>
  <c r="U187" i="1" s="1"/>
  <c r="O187" i="1"/>
  <c r="AA95" i="1"/>
  <c r="U95" i="1" s="1"/>
  <c r="O95" i="1"/>
  <c r="AA253" i="1"/>
  <c r="O253" i="1"/>
  <c r="AA207" i="1"/>
  <c r="U207" i="1" s="1"/>
  <c r="O207" i="1"/>
  <c r="AA129" i="1"/>
  <c r="U129" i="1" s="1"/>
  <c r="O129" i="1"/>
  <c r="AA237" i="1"/>
  <c r="U237" i="1" s="1"/>
  <c r="O237" i="1"/>
  <c r="AA201" i="1"/>
  <c r="U201" i="1" s="1"/>
  <c r="O201" i="1"/>
  <c r="AA86" i="1"/>
  <c r="U86" i="1" s="1"/>
  <c r="O86" i="1"/>
  <c r="AA84" i="1"/>
  <c r="U84" i="1" s="1"/>
  <c r="O84" i="1"/>
  <c r="AA148" i="1"/>
  <c r="U148" i="1" s="1"/>
  <c r="O148" i="1"/>
  <c r="AA61" i="1"/>
  <c r="U61" i="1" s="1"/>
  <c r="O61" i="1"/>
  <c r="AA125" i="1"/>
  <c r="U125" i="1" s="1"/>
  <c r="O125" i="1"/>
  <c r="AA85" i="1"/>
  <c r="U85" i="1" s="1"/>
  <c r="O85" i="1"/>
  <c r="AA170" i="1"/>
  <c r="U170" i="1" s="1"/>
  <c r="O170" i="1"/>
  <c r="AA255" i="1"/>
  <c r="U255" i="1" s="1"/>
  <c r="O255" i="1"/>
  <c r="AA38" i="1"/>
  <c r="O38" i="1"/>
  <c r="AA113" i="1"/>
  <c r="U113" i="1" s="1"/>
  <c r="O113" i="1"/>
  <c r="AA91" i="1"/>
  <c r="O91" i="1"/>
  <c r="AA73" i="1"/>
  <c r="U73" i="1" s="1"/>
  <c r="O73" i="1"/>
  <c r="AA103" i="1"/>
  <c r="O103" i="1"/>
  <c r="AA209" i="1"/>
  <c r="U209" i="1" s="1"/>
  <c r="O209" i="1"/>
  <c r="AA65" i="1"/>
  <c r="U65" i="1" s="1"/>
  <c r="O65" i="1"/>
  <c r="AA55" i="1"/>
  <c r="O55" i="1"/>
  <c r="AA163" i="1"/>
  <c r="U163" i="1" s="1"/>
  <c r="O163" i="1"/>
  <c r="AA107" i="1"/>
  <c r="U107" i="1" s="1"/>
  <c r="O107" i="1"/>
  <c r="E23" i="1"/>
  <c r="F23" i="1" s="1"/>
  <c r="E16" i="1"/>
  <c r="F16" i="1" s="1"/>
  <c r="F17" i="1"/>
  <c r="E20" i="1"/>
  <c r="F20" i="1"/>
  <c r="F12" i="1"/>
  <c r="E24" i="1"/>
  <c r="F24" i="1" s="1"/>
  <c r="E15" i="1"/>
  <c r="F15" i="1" s="1"/>
  <c r="T12" i="1"/>
  <c r="T11" i="1"/>
  <c r="L163" i="1" l="1"/>
  <c r="I163" i="1"/>
  <c r="J163" i="1"/>
  <c r="K163" i="1"/>
  <c r="L246" i="1"/>
  <c r="I246" i="1"/>
  <c r="J246" i="1"/>
  <c r="K246" i="1"/>
  <c r="L143" i="1"/>
  <c r="J143" i="1"/>
  <c r="K143" i="1"/>
  <c r="I143" i="1"/>
  <c r="L34" i="1"/>
  <c r="I34" i="1"/>
  <c r="J34" i="1"/>
  <c r="K34" i="1"/>
  <c r="T103" i="1"/>
  <c r="U103" i="1"/>
  <c r="T38" i="1"/>
  <c r="U38" i="1"/>
  <c r="T67" i="1"/>
  <c r="U67" i="1"/>
  <c r="T54" i="1"/>
  <c r="U54" i="1"/>
  <c r="T183" i="1"/>
  <c r="U183" i="1"/>
  <c r="T166" i="1"/>
  <c r="U166" i="1"/>
  <c r="T126" i="1"/>
  <c r="U126" i="1"/>
  <c r="T90" i="1"/>
  <c r="U90" i="1"/>
  <c r="T223" i="1"/>
  <c r="U223" i="1"/>
  <c r="T66" i="1"/>
  <c r="U66" i="1"/>
  <c r="T175" i="1"/>
  <c r="U175" i="1"/>
  <c r="T58" i="1"/>
  <c r="U58" i="1"/>
  <c r="T265" i="1"/>
  <c r="U265" i="1"/>
  <c r="L207" i="1"/>
  <c r="J207" i="1"/>
  <c r="K207" i="1"/>
  <c r="I207" i="1"/>
  <c r="L45" i="1"/>
  <c r="I45" i="1"/>
  <c r="J45" i="1"/>
  <c r="K45" i="1"/>
  <c r="L234" i="1"/>
  <c r="I234" i="1"/>
  <c r="J234" i="1"/>
  <c r="K234" i="1"/>
  <c r="L93" i="1"/>
  <c r="I93" i="1"/>
  <c r="J93" i="1"/>
  <c r="K93" i="1"/>
  <c r="L175" i="1"/>
  <c r="J175" i="1"/>
  <c r="K175" i="1"/>
  <c r="I175" i="1"/>
  <c r="T246" i="1"/>
  <c r="U246" i="1"/>
  <c r="L55" i="1"/>
  <c r="I55" i="1"/>
  <c r="J55" i="1"/>
  <c r="K55" i="1"/>
  <c r="L73" i="1"/>
  <c r="J73" i="1"/>
  <c r="K73" i="1"/>
  <c r="I73" i="1"/>
  <c r="L255" i="1"/>
  <c r="I255" i="1"/>
  <c r="J255" i="1"/>
  <c r="K255" i="1"/>
  <c r="L61" i="1"/>
  <c r="I61" i="1"/>
  <c r="J61" i="1"/>
  <c r="K61" i="1"/>
  <c r="L201" i="1"/>
  <c r="J201" i="1"/>
  <c r="I201" i="1"/>
  <c r="K201" i="1"/>
  <c r="L253" i="1"/>
  <c r="I253" i="1"/>
  <c r="J253" i="1"/>
  <c r="K253" i="1"/>
  <c r="L57" i="1"/>
  <c r="J57" i="1"/>
  <c r="K57" i="1"/>
  <c r="I57" i="1"/>
  <c r="L146" i="1"/>
  <c r="I146" i="1"/>
  <c r="J146" i="1"/>
  <c r="K146" i="1"/>
  <c r="L53" i="1"/>
  <c r="I53" i="1"/>
  <c r="J53" i="1"/>
  <c r="K53" i="1"/>
  <c r="L44" i="1"/>
  <c r="I44" i="1"/>
  <c r="J44" i="1"/>
  <c r="K44" i="1"/>
  <c r="L222" i="1"/>
  <c r="K222" i="1"/>
  <c r="I222" i="1"/>
  <c r="J222" i="1"/>
  <c r="L74" i="1"/>
  <c r="I74" i="1"/>
  <c r="J74" i="1"/>
  <c r="K74" i="1"/>
  <c r="L230" i="1"/>
  <c r="K230" i="1"/>
  <c r="I230" i="1"/>
  <c r="J230" i="1"/>
  <c r="L132" i="1"/>
  <c r="I132" i="1"/>
  <c r="K132" i="1"/>
  <c r="J132" i="1"/>
  <c r="L106" i="1"/>
  <c r="I106" i="1"/>
  <c r="J106" i="1"/>
  <c r="K106" i="1"/>
  <c r="L127" i="1"/>
  <c r="J127" i="1"/>
  <c r="K127" i="1"/>
  <c r="I127" i="1"/>
  <c r="L233" i="1"/>
  <c r="J233" i="1"/>
  <c r="I233" i="1"/>
  <c r="K233" i="1"/>
  <c r="L197" i="1"/>
  <c r="I197" i="1"/>
  <c r="J197" i="1"/>
  <c r="K197" i="1"/>
  <c r="L229" i="1"/>
  <c r="I229" i="1"/>
  <c r="J229" i="1"/>
  <c r="K229" i="1"/>
  <c r="L245" i="1"/>
  <c r="I245" i="1"/>
  <c r="J245" i="1"/>
  <c r="K245" i="1"/>
  <c r="L257" i="1"/>
  <c r="K257" i="1"/>
  <c r="I257" i="1"/>
  <c r="J257" i="1"/>
  <c r="L142" i="1"/>
  <c r="K142" i="1"/>
  <c r="I142" i="1"/>
  <c r="J142" i="1"/>
  <c r="L62" i="1"/>
  <c r="K62" i="1"/>
  <c r="I62" i="1"/>
  <c r="J62" i="1"/>
  <c r="L198" i="1"/>
  <c r="K198" i="1"/>
  <c r="I198" i="1"/>
  <c r="J198" i="1"/>
  <c r="L204" i="1"/>
  <c r="I204" i="1"/>
  <c r="K204" i="1"/>
  <c r="J204" i="1"/>
  <c r="L188" i="1"/>
  <c r="I188" i="1"/>
  <c r="K188" i="1"/>
  <c r="J188" i="1"/>
  <c r="L130" i="1"/>
  <c r="I130" i="1"/>
  <c r="J130" i="1"/>
  <c r="K130" i="1"/>
  <c r="L42" i="1"/>
  <c r="I42" i="1"/>
  <c r="J42" i="1"/>
  <c r="K42" i="1"/>
  <c r="L254" i="1"/>
  <c r="I254" i="1"/>
  <c r="J254" i="1"/>
  <c r="K254" i="1"/>
  <c r="L218" i="1"/>
  <c r="I218" i="1"/>
  <c r="J218" i="1"/>
  <c r="K218" i="1"/>
  <c r="L138" i="1"/>
  <c r="I138" i="1"/>
  <c r="J138" i="1"/>
  <c r="K138" i="1"/>
  <c r="L41" i="1"/>
  <c r="J41" i="1"/>
  <c r="K41" i="1"/>
  <c r="I41" i="1"/>
  <c r="L117" i="1"/>
  <c r="I117" i="1"/>
  <c r="J117" i="1"/>
  <c r="K117" i="1"/>
  <c r="L98" i="1"/>
  <c r="I98" i="1"/>
  <c r="J98" i="1"/>
  <c r="K98" i="1"/>
  <c r="L111" i="1"/>
  <c r="I111" i="1"/>
  <c r="J111" i="1"/>
  <c r="K111" i="1"/>
  <c r="L193" i="1"/>
  <c r="J193" i="1"/>
  <c r="I193" i="1"/>
  <c r="K193" i="1"/>
  <c r="L141" i="1"/>
  <c r="I141" i="1"/>
  <c r="J141" i="1"/>
  <c r="K141" i="1"/>
  <c r="L100" i="1"/>
  <c r="I100" i="1"/>
  <c r="J100" i="1"/>
  <c r="K100" i="1"/>
  <c r="L89" i="1"/>
  <c r="J89" i="1"/>
  <c r="K89" i="1"/>
  <c r="I89" i="1"/>
  <c r="L103" i="1"/>
  <c r="I103" i="1"/>
  <c r="J103" i="1"/>
  <c r="K103" i="1"/>
  <c r="L225" i="1"/>
  <c r="J225" i="1"/>
  <c r="I225" i="1"/>
  <c r="K225" i="1"/>
  <c r="L69" i="1"/>
  <c r="I69" i="1"/>
  <c r="J69" i="1"/>
  <c r="K69" i="1"/>
  <c r="L52" i="1"/>
  <c r="I52" i="1"/>
  <c r="J52" i="1"/>
  <c r="K52" i="1"/>
  <c r="L66" i="1"/>
  <c r="I66" i="1"/>
  <c r="J66" i="1"/>
  <c r="K66" i="1"/>
  <c r="L58" i="1"/>
  <c r="I58" i="1"/>
  <c r="J58" i="1"/>
  <c r="K58" i="1"/>
  <c r="L94" i="1"/>
  <c r="K94" i="1"/>
  <c r="I94" i="1"/>
  <c r="J94" i="1"/>
  <c r="T55" i="1"/>
  <c r="U55" i="1"/>
  <c r="T142" i="1"/>
  <c r="U142" i="1"/>
  <c r="T42" i="1"/>
  <c r="U42" i="1"/>
  <c r="T138" i="1"/>
  <c r="U138" i="1"/>
  <c r="T98" i="1"/>
  <c r="U98" i="1"/>
  <c r="T111" i="1"/>
  <c r="U111" i="1"/>
  <c r="T250" i="1"/>
  <c r="U250" i="1"/>
  <c r="L38" i="1"/>
  <c r="K38" i="1"/>
  <c r="I38" i="1"/>
  <c r="J38" i="1"/>
  <c r="L196" i="1"/>
  <c r="I196" i="1"/>
  <c r="K196" i="1"/>
  <c r="J196" i="1"/>
  <c r="L108" i="1"/>
  <c r="I108" i="1"/>
  <c r="J108" i="1"/>
  <c r="K108" i="1"/>
  <c r="L166" i="1"/>
  <c r="K166" i="1"/>
  <c r="I166" i="1"/>
  <c r="J166" i="1"/>
  <c r="L172" i="1"/>
  <c r="I172" i="1"/>
  <c r="K172" i="1"/>
  <c r="J172" i="1"/>
  <c r="L249" i="1"/>
  <c r="K249" i="1"/>
  <c r="I249" i="1"/>
  <c r="J249" i="1"/>
  <c r="T257" i="1"/>
  <c r="U257" i="1"/>
  <c r="L65" i="1"/>
  <c r="J65" i="1"/>
  <c r="K65" i="1"/>
  <c r="I65" i="1"/>
  <c r="L91" i="1"/>
  <c r="I91" i="1"/>
  <c r="J91" i="1"/>
  <c r="K91" i="1"/>
  <c r="L170" i="1"/>
  <c r="I170" i="1"/>
  <c r="J170" i="1"/>
  <c r="K170" i="1"/>
  <c r="L148" i="1"/>
  <c r="I148" i="1"/>
  <c r="K148" i="1"/>
  <c r="J148" i="1"/>
  <c r="L237" i="1"/>
  <c r="I237" i="1"/>
  <c r="J237" i="1"/>
  <c r="K237" i="1"/>
  <c r="L95" i="1"/>
  <c r="I95" i="1"/>
  <c r="J95" i="1"/>
  <c r="K95" i="1"/>
  <c r="L79" i="1"/>
  <c r="I79" i="1"/>
  <c r="J79" i="1"/>
  <c r="K79" i="1"/>
  <c r="L149" i="1"/>
  <c r="I149" i="1"/>
  <c r="J149" i="1"/>
  <c r="K149" i="1"/>
  <c r="L189" i="1"/>
  <c r="I189" i="1"/>
  <c r="J189" i="1"/>
  <c r="K189" i="1"/>
  <c r="L153" i="1"/>
  <c r="J153" i="1"/>
  <c r="I153" i="1"/>
  <c r="K153" i="1"/>
  <c r="L239" i="1"/>
  <c r="I239" i="1"/>
  <c r="J239" i="1"/>
  <c r="K239" i="1"/>
  <c r="L81" i="1"/>
  <c r="J81" i="1"/>
  <c r="K81" i="1"/>
  <c r="I81" i="1"/>
  <c r="L213" i="1"/>
  <c r="I213" i="1"/>
  <c r="J213" i="1"/>
  <c r="K213" i="1"/>
  <c r="L68" i="1"/>
  <c r="I68" i="1"/>
  <c r="J68" i="1"/>
  <c r="K68" i="1"/>
  <c r="L263" i="1"/>
  <c r="I263" i="1"/>
  <c r="J263" i="1"/>
  <c r="K263" i="1"/>
  <c r="L242" i="1"/>
  <c r="I242" i="1"/>
  <c r="J242" i="1"/>
  <c r="K242" i="1"/>
  <c r="L49" i="1"/>
  <c r="J49" i="1"/>
  <c r="K49" i="1"/>
  <c r="I49" i="1"/>
  <c r="L157" i="1"/>
  <c r="I157" i="1"/>
  <c r="J157" i="1"/>
  <c r="K157" i="1"/>
  <c r="L124" i="1"/>
  <c r="I124" i="1"/>
  <c r="K124" i="1"/>
  <c r="J124" i="1"/>
  <c r="L133" i="1"/>
  <c r="I133" i="1"/>
  <c r="J133" i="1"/>
  <c r="K133" i="1"/>
  <c r="L154" i="1"/>
  <c r="I154" i="1"/>
  <c r="J154" i="1"/>
  <c r="K154" i="1"/>
  <c r="L162" i="1"/>
  <c r="I162" i="1"/>
  <c r="J162" i="1"/>
  <c r="K162" i="1"/>
  <c r="L169" i="1"/>
  <c r="J169" i="1"/>
  <c r="I169" i="1"/>
  <c r="K169" i="1"/>
  <c r="L114" i="1"/>
  <c r="I114" i="1"/>
  <c r="J114" i="1"/>
  <c r="K114" i="1"/>
  <c r="L180" i="1"/>
  <c r="I180" i="1"/>
  <c r="K180" i="1"/>
  <c r="J180" i="1"/>
  <c r="L101" i="1"/>
  <c r="I101" i="1"/>
  <c r="J101" i="1"/>
  <c r="K101" i="1"/>
  <c r="L51" i="1"/>
  <c r="I51" i="1"/>
  <c r="J51" i="1"/>
  <c r="K51" i="1"/>
  <c r="L217" i="1"/>
  <c r="J217" i="1"/>
  <c r="I217" i="1"/>
  <c r="K217" i="1"/>
  <c r="L231" i="1"/>
  <c r="J231" i="1"/>
  <c r="K231" i="1"/>
  <c r="I231" i="1"/>
  <c r="L139" i="1"/>
  <c r="I139" i="1"/>
  <c r="J139" i="1"/>
  <c r="K139" i="1"/>
  <c r="L123" i="1"/>
  <c r="I123" i="1"/>
  <c r="J123" i="1"/>
  <c r="K123" i="1"/>
  <c r="L195" i="1"/>
  <c r="I195" i="1"/>
  <c r="J195" i="1"/>
  <c r="K195" i="1"/>
  <c r="L178" i="1"/>
  <c r="I178" i="1"/>
  <c r="J178" i="1"/>
  <c r="K178" i="1"/>
  <c r="L115" i="1"/>
  <c r="I115" i="1"/>
  <c r="J115" i="1"/>
  <c r="K115" i="1"/>
  <c r="L47" i="1"/>
  <c r="I47" i="1"/>
  <c r="J47" i="1"/>
  <c r="K47" i="1"/>
  <c r="L82" i="1"/>
  <c r="I82" i="1"/>
  <c r="J82" i="1"/>
  <c r="K82" i="1"/>
  <c r="L77" i="1"/>
  <c r="I77" i="1"/>
  <c r="J77" i="1"/>
  <c r="K77" i="1"/>
  <c r="L36" i="1"/>
  <c r="I36" i="1"/>
  <c r="J36" i="1"/>
  <c r="K36" i="1"/>
  <c r="L92" i="1"/>
  <c r="I92" i="1"/>
  <c r="J92" i="1"/>
  <c r="K92" i="1"/>
  <c r="L86" i="1"/>
  <c r="K86" i="1"/>
  <c r="I86" i="1"/>
  <c r="J86" i="1"/>
  <c r="L54" i="1"/>
  <c r="K54" i="1"/>
  <c r="I54" i="1"/>
  <c r="J54" i="1"/>
  <c r="L126" i="1"/>
  <c r="K126" i="1"/>
  <c r="I126" i="1"/>
  <c r="J126" i="1"/>
  <c r="T253" i="1"/>
  <c r="U253" i="1"/>
  <c r="T91" i="1"/>
  <c r="U91" i="1"/>
  <c r="T79" i="1"/>
  <c r="U79" i="1"/>
  <c r="T154" i="1"/>
  <c r="U154" i="1"/>
  <c r="T231" i="1"/>
  <c r="U231" i="1"/>
  <c r="T47" i="1"/>
  <c r="U47" i="1"/>
  <c r="T110" i="1"/>
  <c r="U110" i="1"/>
  <c r="T71" i="1"/>
  <c r="U71" i="1"/>
  <c r="L67" i="1"/>
  <c r="I67" i="1"/>
  <c r="J67" i="1"/>
  <c r="K67" i="1"/>
  <c r="L122" i="1"/>
  <c r="I122" i="1"/>
  <c r="J122" i="1"/>
  <c r="K122" i="1"/>
  <c r="L165" i="1"/>
  <c r="I165" i="1"/>
  <c r="J165" i="1"/>
  <c r="K165" i="1"/>
  <c r="L90" i="1"/>
  <c r="I90" i="1"/>
  <c r="J90" i="1"/>
  <c r="K90" i="1"/>
  <c r="L50" i="1"/>
  <c r="I50" i="1"/>
  <c r="J50" i="1"/>
  <c r="K50" i="1"/>
  <c r="L265" i="1"/>
  <c r="K265" i="1"/>
  <c r="I265" i="1"/>
  <c r="J265" i="1"/>
  <c r="L107" i="1"/>
  <c r="I107" i="1"/>
  <c r="J107" i="1"/>
  <c r="K107" i="1"/>
  <c r="L209" i="1"/>
  <c r="J209" i="1"/>
  <c r="I209" i="1"/>
  <c r="K209" i="1"/>
  <c r="L113" i="1"/>
  <c r="J113" i="1"/>
  <c r="K113" i="1"/>
  <c r="I113" i="1"/>
  <c r="L85" i="1"/>
  <c r="I85" i="1"/>
  <c r="J85" i="1"/>
  <c r="K85" i="1"/>
  <c r="L84" i="1"/>
  <c r="I84" i="1"/>
  <c r="J84" i="1"/>
  <c r="K84" i="1"/>
  <c r="L129" i="1"/>
  <c r="J129" i="1"/>
  <c r="I129" i="1"/>
  <c r="K129" i="1"/>
  <c r="L187" i="1"/>
  <c r="I187" i="1"/>
  <c r="J187" i="1"/>
  <c r="K187" i="1"/>
  <c r="L35" i="1"/>
  <c r="I35" i="1"/>
  <c r="J35" i="1"/>
  <c r="K35" i="1"/>
  <c r="L205" i="1"/>
  <c r="I205" i="1"/>
  <c r="J205" i="1"/>
  <c r="K205" i="1"/>
  <c r="L140" i="1"/>
  <c r="I140" i="1"/>
  <c r="K140" i="1"/>
  <c r="J140" i="1"/>
  <c r="L161" i="1"/>
  <c r="J161" i="1"/>
  <c r="I161" i="1"/>
  <c r="K161" i="1"/>
  <c r="L25" i="1"/>
  <c r="J25" i="1"/>
  <c r="K25" i="1"/>
  <c r="I25" i="1"/>
  <c r="L185" i="1"/>
  <c r="J185" i="1"/>
  <c r="I185" i="1"/>
  <c r="K185" i="1"/>
  <c r="L109" i="1"/>
  <c r="I109" i="1"/>
  <c r="J109" i="1"/>
  <c r="K109" i="1"/>
  <c r="L173" i="1"/>
  <c r="I173" i="1"/>
  <c r="J173" i="1"/>
  <c r="K173" i="1"/>
  <c r="L221" i="1"/>
  <c r="I221" i="1"/>
  <c r="J221" i="1"/>
  <c r="K221" i="1"/>
  <c r="L105" i="1"/>
  <c r="J105" i="1"/>
  <c r="K105" i="1"/>
  <c r="I105" i="1"/>
  <c r="L159" i="1"/>
  <c r="J159" i="1"/>
  <c r="K159" i="1"/>
  <c r="I159" i="1"/>
  <c r="L220" i="1"/>
  <c r="I220" i="1"/>
  <c r="K220" i="1"/>
  <c r="J220" i="1"/>
  <c r="L60" i="1"/>
  <c r="I60" i="1"/>
  <c r="J60" i="1"/>
  <c r="K60" i="1"/>
  <c r="L156" i="1"/>
  <c r="I156" i="1"/>
  <c r="K156" i="1"/>
  <c r="J156" i="1"/>
  <c r="L235" i="1"/>
  <c r="I235" i="1"/>
  <c r="J235" i="1"/>
  <c r="K235" i="1"/>
  <c r="L167" i="1"/>
  <c r="J167" i="1"/>
  <c r="K167" i="1"/>
  <c r="I167" i="1"/>
  <c r="L261" i="1"/>
  <c r="I261" i="1"/>
  <c r="J261" i="1"/>
  <c r="K261" i="1"/>
  <c r="L181" i="1"/>
  <c r="I181" i="1"/>
  <c r="J181" i="1"/>
  <c r="K181" i="1"/>
  <c r="L116" i="1"/>
  <c r="I116" i="1"/>
  <c r="K116" i="1"/>
  <c r="J116" i="1"/>
  <c r="L37" i="1"/>
  <c r="I37" i="1"/>
  <c r="J37" i="1"/>
  <c r="K37" i="1"/>
  <c r="L83" i="1"/>
  <c r="I83" i="1"/>
  <c r="J83" i="1"/>
  <c r="K83" i="1"/>
  <c r="L247" i="1"/>
  <c r="I247" i="1"/>
  <c r="J247" i="1"/>
  <c r="K247" i="1"/>
  <c r="L70" i="1"/>
  <c r="K70" i="1"/>
  <c r="I70" i="1"/>
  <c r="J70" i="1"/>
  <c r="L241" i="1"/>
  <c r="K241" i="1"/>
  <c r="I241" i="1"/>
  <c r="J241" i="1"/>
  <c r="L59" i="1"/>
  <c r="I59" i="1"/>
  <c r="J59" i="1"/>
  <c r="K59" i="1"/>
  <c r="L190" i="1"/>
  <c r="K190" i="1"/>
  <c r="I190" i="1"/>
  <c r="J190" i="1"/>
  <c r="L210" i="1"/>
  <c r="I210" i="1"/>
  <c r="J210" i="1"/>
  <c r="K210" i="1"/>
  <c r="L97" i="1"/>
  <c r="J97" i="1"/>
  <c r="K97" i="1"/>
  <c r="I97" i="1"/>
  <c r="L145" i="1"/>
  <c r="J145" i="1"/>
  <c r="I145" i="1"/>
  <c r="K145" i="1"/>
  <c r="L260" i="1"/>
  <c r="J260" i="1"/>
  <c r="K260" i="1"/>
  <c r="I260" i="1"/>
  <c r="L212" i="1"/>
  <c r="I212" i="1"/>
  <c r="K212" i="1"/>
  <c r="J212" i="1"/>
  <c r="L215" i="1"/>
  <c r="J215" i="1"/>
  <c r="K215" i="1"/>
  <c r="I215" i="1"/>
  <c r="L125" i="1"/>
  <c r="I125" i="1"/>
  <c r="J125" i="1"/>
  <c r="K125" i="1"/>
  <c r="L76" i="1"/>
  <c r="I76" i="1"/>
  <c r="J76" i="1"/>
  <c r="K76" i="1"/>
  <c r="L183" i="1"/>
  <c r="J183" i="1"/>
  <c r="K183" i="1"/>
  <c r="I183" i="1"/>
  <c r="L137" i="1"/>
  <c r="J137" i="1"/>
  <c r="I137" i="1"/>
  <c r="K137" i="1"/>
  <c r="L223" i="1"/>
  <c r="J223" i="1"/>
  <c r="K223" i="1"/>
  <c r="I223" i="1"/>
  <c r="L118" i="1"/>
  <c r="K118" i="1"/>
  <c r="I118" i="1"/>
  <c r="J118" i="1"/>
  <c r="L177" i="1"/>
  <c r="J177" i="1"/>
  <c r="I177" i="1"/>
  <c r="K177" i="1"/>
  <c r="L164" i="1"/>
  <c r="I164" i="1"/>
  <c r="K164" i="1"/>
  <c r="J164" i="1"/>
  <c r="T159" i="1"/>
  <c r="U159" i="1"/>
  <c r="T167" i="1"/>
  <c r="U167" i="1"/>
  <c r="T261" i="1"/>
  <c r="U261" i="1"/>
  <c r="T83" i="1"/>
  <c r="U83" i="1"/>
  <c r="T70" i="1"/>
  <c r="U70" i="1"/>
  <c r="T241" i="1"/>
  <c r="U241" i="1"/>
  <c r="T59" i="1"/>
  <c r="U59" i="1"/>
  <c r="T190" i="1"/>
  <c r="U190" i="1"/>
  <c r="T215" i="1"/>
  <c r="U215" i="1"/>
  <c r="T255" i="1"/>
  <c r="T146" i="1"/>
  <c r="T230" i="1"/>
  <c r="T233" i="1"/>
  <c r="T198" i="1"/>
  <c r="T41" i="1"/>
  <c r="T117" i="1"/>
  <c r="T193" i="1"/>
  <c r="T100" i="1"/>
  <c r="T201" i="1"/>
  <c r="T44" i="1"/>
  <c r="T132" i="1"/>
  <c r="T197" i="1"/>
  <c r="T62" i="1"/>
  <c r="T188" i="1"/>
  <c r="T254" i="1"/>
  <c r="T65" i="1"/>
  <c r="T170" i="1"/>
  <c r="T148" i="1"/>
  <c r="T237" i="1"/>
  <c r="T95" i="1"/>
  <c r="T149" i="1"/>
  <c r="T189" i="1"/>
  <c r="T153" i="1"/>
  <c r="T239" i="1"/>
  <c r="T81" i="1"/>
  <c r="T213" i="1"/>
  <c r="T68" i="1"/>
  <c r="T263" i="1"/>
  <c r="T242" i="1"/>
  <c r="T49" i="1"/>
  <c r="T157" i="1"/>
  <c r="T124" i="1"/>
  <c r="T133" i="1"/>
  <c r="T162" i="1"/>
  <c r="T169" i="1"/>
  <c r="T114" i="1"/>
  <c r="T180" i="1"/>
  <c r="T101" i="1"/>
  <c r="T51" i="1"/>
  <c r="T217" i="1"/>
  <c r="T139" i="1"/>
  <c r="T123" i="1"/>
  <c r="T195" i="1"/>
  <c r="T178" i="1"/>
  <c r="T115" i="1"/>
  <c r="T82" i="1"/>
  <c r="T77" i="1"/>
  <c r="T36" i="1"/>
  <c r="T92" i="1"/>
  <c r="T74" i="1"/>
  <c r="T127" i="1"/>
  <c r="T245" i="1"/>
  <c r="T204" i="1"/>
  <c r="T130" i="1"/>
  <c r="T89" i="1"/>
  <c r="T53" i="1"/>
  <c r="T121" i="1"/>
  <c r="T107" i="1"/>
  <c r="T209" i="1"/>
  <c r="T113" i="1"/>
  <c r="T85" i="1"/>
  <c r="T84" i="1"/>
  <c r="T129" i="1"/>
  <c r="T187" i="1"/>
  <c r="T35" i="1"/>
  <c r="T205" i="1"/>
  <c r="T140" i="1"/>
  <c r="T161" i="1"/>
  <c r="T25" i="1"/>
  <c r="T185" i="1"/>
  <c r="T109" i="1"/>
  <c r="T173" i="1"/>
  <c r="T221" i="1"/>
  <c r="T105" i="1"/>
  <c r="T220" i="1"/>
  <c r="T60" i="1"/>
  <c r="T156" i="1"/>
  <c r="T235" i="1"/>
  <c r="T181" i="1"/>
  <c r="T116" i="1"/>
  <c r="T37" i="1"/>
  <c r="T247" i="1"/>
  <c r="T210" i="1"/>
  <c r="T97" i="1"/>
  <c r="T145" i="1"/>
  <c r="T260" i="1"/>
  <c r="T212" i="1"/>
  <c r="T73" i="1"/>
  <c r="T57" i="1"/>
  <c r="T222" i="1"/>
  <c r="T106" i="1"/>
  <c r="T229" i="1"/>
  <c r="T218" i="1"/>
  <c r="T141" i="1"/>
  <c r="T61" i="1"/>
  <c r="T163" i="1"/>
  <c r="T125" i="1"/>
  <c r="T86" i="1"/>
  <c r="T207" i="1"/>
  <c r="T196" i="1"/>
  <c r="T76" i="1"/>
  <c r="T225" i="1"/>
  <c r="T122" i="1"/>
  <c r="T45" i="1"/>
  <c r="T108" i="1"/>
  <c r="T143" i="1"/>
  <c r="T69" i="1"/>
  <c r="T165" i="1"/>
  <c r="T234" i="1"/>
  <c r="T137" i="1"/>
  <c r="T93" i="1"/>
  <c r="T52" i="1"/>
  <c r="T172" i="1"/>
  <c r="T34" i="1"/>
  <c r="T50" i="1"/>
  <c r="T118" i="1"/>
  <c r="T249" i="1"/>
  <c r="T177" i="1"/>
  <c r="T164" i="1"/>
  <c r="T94" i="1"/>
</calcChain>
</file>

<file path=xl/sharedStrings.xml><?xml version="1.0" encoding="utf-8"?>
<sst xmlns="http://schemas.openxmlformats.org/spreadsheetml/2006/main" count="628" uniqueCount="601">
  <si>
    <t>Arts &amp; Entertainment [25]</t>
  </si>
  <si>
    <t xml:space="preserve"> Artist [118]</t>
  </si>
  <si>
    <t xml:space="preserve"> Books [26]</t>
  </si>
  <si>
    <t xml:space="preserve">  Characters [4]</t>
  </si>
  <si>
    <t xml:space="preserve"> Childhood Literature [3]</t>
  </si>
  <si>
    <t xml:space="preserve"> Comic Books [3]</t>
  </si>
  <si>
    <t xml:space="preserve"> Entertainers [6]</t>
  </si>
  <si>
    <t xml:space="preserve">  Singers [1]</t>
  </si>
  <si>
    <t xml:space="preserve"> Fiction &amp; Mythology [12]</t>
  </si>
  <si>
    <t xml:space="preserve"> Games</t>
  </si>
  <si>
    <t xml:space="preserve">  Card [81]</t>
  </si>
  <si>
    <t xml:space="preserve">  Trivia [12]</t>
  </si>
  <si>
    <t xml:space="preserve"> Literature &amp; Authors [5]</t>
  </si>
  <si>
    <t xml:space="preserve">  Shakespeare [2]</t>
  </si>
  <si>
    <t xml:space="preserve"> Movies [12]</t>
  </si>
  <si>
    <t xml:space="preserve">  Academy Awards [572]</t>
  </si>
  <si>
    <t xml:space="preserve"> Music &amp; Song [182]</t>
  </si>
  <si>
    <t xml:space="preserve">  Ballet [1]</t>
  </si>
  <si>
    <t xml:space="preserve">  Classical Music [5613]</t>
  </si>
  <si>
    <t xml:space="preserve">  Military and patriotic [1429]</t>
  </si>
  <si>
    <t xml:space="preserve">  Popular [162]</t>
  </si>
  <si>
    <t xml:space="preserve"> Poems [133]</t>
  </si>
  <si>
    <t xml:space="preserve"> Quotes [1]</t>
  </si>
  <si>
    <t xml:space="preserve"> Science Fiction [1]</t>
  </si>
  <si>
    <t xml:space="preserve"> TV</t>
  </si>
  <si>
    <t xml:space="preserve">  SitComs [3]</t>
  </si>
  <si>
    <t>Business [1]</t>
  </si>
  <si>
    <t xml:space="preserve"> Money &amp; Finance [51]</t>
  </si>
  <si>
    <t xml:space="preserve"> Professions [8]</t>
  </si>
  <si>
    <t xml:space="preserve"> Top Companies [1]</t>
  </si>
  <si>
    <t>Civics [5]</t>
  </si>
  <si>
    <t xml:space="preserve"> US [1976]</t>
  </si>
  <si>
    <t xml:space="preserve">  Laws [101]</t>
  </si>
  <si>
    <t>Communications [2]</t>
  </si>
  <si>
    <t xml:space="preserve"> Signs &amp; Symbols [2]</t>
  </si>
  <si>
    <t xml:space="preserve"> Slang [2]</t>
  </si>
  <si>
    <t xml:space="preserve"> Words &amp; Phrases [14]</t>
  </si>
  <si>
    <t>Current Events [3]</t>
  </si>
  <si>
    <t xml:space="preserve"> Diasters [15]</t>
  </si>
  <si>
    <t xml:space="preserve"> Newspaper Headlines [97]</t>
  </si>
  <si>
    <t xml:space="preserve"> People In The News [474]</t>
  </si>
  <si>
    <t xml:space="preserve"> Places in the News [82]</t>
  </si>
  <si>
    <t xml:space="preserve"> Scandals [4]</t>
  </si>
  <si>
    <t>Disasters [132]</t>
  </si>
  <si>
    <t>Every Day Living [6]</t>
  </si>
  <si>
    <t xml:space="preserve"> Cooking [1]</t>
  </si>
  <si>
    <t xml:space="preserve"> Currency [212]</t>
  </si>
  <si>
    <t xml:space="preserve"> Dress [14]</t>
  </si>
  <si>
    <t xml:space="preserve"> Facts And Figures [98]</t>
  </si>
  <si>
    <t xml:space="preserve"> Finances [46]</t>
  </si>
  <si>
    <t xml:space="preserve">  Salary [14]</t>
  </si>
  <si>
    <t xml:space="preserve"> Government</t>
  </si>
  <si>
    <t xml:space="preserve">  Federal [157]</t>
  </si>
  <si>
    <t xml:space="preserve">   Military [2]</t>
  </si>
  <si>
    <t xml:space="preserve"> Health &amp; Fitness [1]</t>
  </si>
  <si>
    <t xml:space="preserve"> How We Spend Out Time [1]</t>
  </si>
  <si>
    <t xml:space="preserve">  Holidays [1]</t>
  </si>
  <si>
    <t xml:space="preserve"> Interesting Facts [10]</t>
  </si>
  <si>
    <t xml:space="preserve"> Leisure Time [4]</t>
  </si>
  <si>
    <t xml:space="preserve"> Measurements [8]</t>
  </si>
  <si>
    <t xml:space="preserve"> Modern Times [1]</t>
  </si>
  <si>
    <t xml:space="preserve"> Pets [3]</t>
  </si>
  <si>
    <t xml:space="preserve"> Popular Culture [151]</t>
  </si>
  <si>
    <t xml:space="preserve"> Quotes [30]</t>
  </si>
  <si>
    <t xml:space="preserve"> Race [1]</t>
  </si>
  <si>
    <t xml:space="preserve"> Work [8]</t>
  </si>
  <si>
    <t>Games</t>
  </si>
  <si>
    <t xml:space="preserve"> Board [1]</t>
  </si>
  <si>
    <t xml:space="preserve"> Card [1]</t>
  </si>
  <si>
    <t>Geography</t>
  </si>
  <si>
    <t xml:space="preserve"> American [36]</t>
  </si>
  <si>
    <t xml:space="preserve">  City [1410]</t>
  </si>
  <si>
    <t xml:space="preserve">  Highways [39]</t>
  </si>
  <si>
    <t xml:space="preserve"> Cities [16]</t>
  </si>
  <si>
    <t xml:space="preserve"> Countries [24]</t>
  </si>
  <si>
    <t xml:space="preserve">  Cities</t>
  </si>
  <si>
    <t xml:space="preserve">   Capitals [7]</t>
  </si>
  <si>
    <t xml:space="preserve"> Distance [5]</t>
  </si>
  <si>
    <t xml:space="preserve"> Famous Places &amp; Things [191]</t>
  </si>
  <si>
    <t xml:space="preserve"> Geographic Points of Interest [8]</t>
  </si>
  <si>
    <t xml:space="preserve"> Natural Wonders [26]</t>
  </si>
  <si>
    <t xml:space="preserve"> Parks &amp; Monuments [172]</t>
  </si>
  <si>
    <t xml:space="preserve"> South America [3]</t>
  </si>
  <si>
    <t xml:space="preserve"> States [871]</t>
  </si>
  <si>
    <t xml:space="preserve">  AK-Alaska [84]</t>
  </si>
  <si>
    <t xml:space="preserve">  AL-Alabama [53]</t>
  </si>
  <si>
    <t xml:space="preserve">  AR-Arkansas [51]</t>
  </si>
  <si>
    <t xml:space="preserve">  AZ-Arizona [52]</t>
  </si>
  <si>
    <t xml:space="preserve">  CA-California [42]</t>
  </si>
  <si>
    <t xml:space="preserve">  CO-Colorado [46]</t>
  </si>
  <si>
    <t xml:space="preserve">  CT-Connecticut [49]</t>
  </si>
  <si>
    <t xml:space="preserve">  DE-Delaware [43]</t>
  </si>
  <si>
    <t xml:space="preserve">  FL-Florida [49]</t>
  </si>
  <si>
    <t xml:space="preserve">  Flags [410]</t>
  </si>
  <si>
    <t xml:space="preserve">  GA-Georgia [46]</t>
  </si>
  <si>
    <t xml:space="preserve">  HI-Hawaii [30]</t>
  </si>
  <si>
    <t xml:space="preserve">  IA-Iowa [46]</t>
  </si>
  <si>
    <t xml:space="preserve">  ID-Idaho [46]</t>
  </si>
  <si>
    <t xml:space="preserve">  IL-Illinois [46]</t>
  </si>
  <si>
    <t xml:space="preserve">  IN-Indiana [43]</t>
  </si>
  <si>
    <t xml:space="preserve">  KS-Kansas [44]</t>
  </si>
  <si>
    <t xml:space="preserve">  KY-Kentucky [47]</t>
  </si>
  <si>
    <t xml:space="preserve">  LA-Louisiana [44]</t>
  </si>
  <si>
    <t xml:space="preserve">  MA-Massachusetts [44]</t>
  </si>
  <si>
    <t xml:space="preserve">  MD-Maryland [44]</t>
  </si>
  <si>
    <t xml:space="preserve">  ME-Maine [47]</t>
  </si>
  <si>
    <t xml:space="preserve">  MI-Michigan [47]</t>
  </si>
  <si>
    <t xml:space="preserve">  MN-Minnesota [47]</t>
  </si>
  <si>
    <t xml:space="preserve">  MO-Missouri [47]</t>
  </si>
  <si>
    <t xml:space="preserve">  MS-Mississippi [52]</t>
  </si>
  <si>
    <t xml:space="preserve">  MT-Montana [47]</t>
  </si>
  <si>
    <t xml:space="preserve">  NC-North Carolina [46]</t>
  </si>
  <si>
    <t xml:space="preserve">  ND-North Dakota [46]</t>
  </si>
  <si>
    <t xml:space="preserve">  NE-Nebraska [43]</t>
  </si>
  <si>
    <t xml:space="preserve">  NH-New Hampshire [43]</t>
  </si>
  <si>
    <t xml:space="preserve">  NJ-New Jersey [43]</t>
  </si>
  <si>
    <t xml:space="preserve">  NM-New Mexico [46]</t>
  </si>
  <si>
    <t xml:space="preserve">  NV-Nevada [46]</t>
  </si>
  <si>
    <t xml:space="preserve">  NY-New York [43]</t>
  </si>
  <si>
    <t xml:space="preserve">  OH-Ohio [43]</t>
  </si>
  <si>
    <t xml:space="preserve">  OK-Oklahoma [43]</t>
  </si>
  <si>
    <t xml:space="preserve">  OR-Oregon [43]</t>
  </si>
  <si>
    <t xml:space="preserve">  PA-Pennsylvania [23]</t>
  </si>
  <si>
    <t xml:space="preserve">  RI-Rhode Island [44]</t>
  </si>
  <si>
    <t xml:space="preserve">  SC-South Carolina [44]</t>
  </si>
  <si>
    <t xml:space="preserve">  SD-South Dakota [45]</t>
  </si>
  <si>
    <t xml:space="preserve">  TN-Tennessee [44]</t>
  </si>
  <si>
    <t xml:space="preserve">  TX-Texas [41]</t>
  </si>
  <si>
    <t xml:space="preserve">  UT-Utah [42]</t>
  </si>
  <si>
    <t xml:space="preserve">  VA-Virginia [41]</t>
  </si>
  <si>
    <t xml:space="preserve">  VT-Vermont [44]</t>
  </si>
  <si>
    <t xml:space="preserve">  WA-Washington [39]</t>
  </si>
  <si>
    <t xml:space="preserve">  WI-Wisconsin [44]</t>
  </si>
  <si>
    <t xml:space="preserve">  WV-West Virginia [35]</t>
  </si>
  <si>
    <t xml:space="preserve">  WY-Wyoming [35]</t>
  </si>
  <si>
    <t xml:space="preserve"> US Capitals [128]</t>
  </si>
  <si>
    <t xml:space="preserve"> Waterways [34]</t>
  </si>
  <si>
    <t xml:space="preserve"> World Capitals [1]</t>
  </si>
  <si>
    <t>Health And Fitness [8]</t>
  </si>
  <si>
    <t>History [10]</t>
  </si>
  <si>
    <t xml:space="preserve"> Awards Achievements &amp; Milestones [11]</t>
  </si>
  <si>
    <t xml:space="preserve"> Dark_History [23]</t>
  </si>
  <si>
    <t xml:space="preserve"> Deaths [58]</t>
  </si>
  <si>
    <t xml:space="preserve">  Excecutions [3]</t>
  </si>
  <si>
    <t xml:space="preserve"> Events That Changed History [105]</t>
  </si>
  <si>
    <t xml:space="preserve">  Financial [1]</t>
  </si>
  <si>
    <t xml:space="preserve"> Explorers Discovers &amp; Scientists [3]</t>
  </si>
  <si>
    <t xml:space="preserve"> Facts And Figures [266]</t>
  </si>
  <si>
    <t xml:space="preserve"> Historic Things &amp; Places [265]</t>
  </si>
  <si>
    <t xml:space="preserve"> Influential People [442]</t>
  </si>
  <si>
    <t xml:space="preserve"> Major Events In History [15]</t>
  </si>
  <si>
    <t xml:space="preserve">  Assassinations [4]</t>
  </si>
  <si>
    <t xml:space="preserve">  Battles [322]</t>
  </si>
  <si>
    <t xml:space="preserve">  Discovery [10]</t>
  </si>
  <si>
    <t xml:space="preserve">  Firsts [13]</t>
  </si>
  <si>
    <t xml:space="preserve">  Riots [6]</t>
  </si>
  <si>
    <t xml:space="preserve">  Wars [190]</t>
  </si>
  <si>
    <t xml:space="preserve"> Military Leaders [4]</t>
  </si>
  <si>
    <t xml:space="preserve"> Political [289]</t>
  </si>
  <si>
    <t xml:space="preserve"> Recent</t>
  </si>
  <si>
    <t xml:space="preserve">  2000 [8]</t>
  </si>
  <si>
    <t xml:space="preserve">  50's [8]</t>
  </si>
  <si>
    <t xml:space="preserve">  60's [8]</t>
  </si>
  <si>
    <t xml:space="preserve">  70's [8]</t>
  </si>
  <si>
    <t xml:space="preserve">  80's [8]</t>
  </si>
  <si>
    <t xml:space="preserve">  90's [8]</t>
  </si>
  <si>
    <t xml:space="preserve"> Scandals [2]</t>
  </si>
  <si>
    <t xml:space="preserve"> Speaches [5]</t>
  </si>
  <si>
    <t xml:space="preserve">  Debates [2]</t>
  </si>
  <si>
    <t xml:space="preserve"> Trials [7]</t>
  </si>
  <si>
    <t xml:space="preserve"> Wars &amp; Interventions [419]</t>
  </si>
  <si>
    <t>Language</t>
  </si>
  <si>
    <t xml:space="preserve"> Words [95]</t>
  </si>
  <si>
    <t>Life And Death [351]</t>
  </si>
  <si>
    <t>Military [1569]</t>
  </si>
  <si>
    <t xml:space="preserve"> Air Planes [94]</t>
  </si>
  <si>
    <t xml:space="preserve"> Battles [118]</t>
  </si>
  <si>
    <t xml:space="preserve"> Events [1403]</t>
  </si>
  <si>
    <t xml:space="preserve"> Leaders</t>
  </si>
  <si>
    <t xml:space="preserve">  Navy [167]</t>
  </si>
  <si>
    <t xml:space="preserve"> Ranks [19]</t>
  </si>
  <si>
    <t xml:space="preserve"> Ships [117]</t>
  </si>
  <si>
    <t>Nature [3]</t>
  </si>
  <si>
    <t xml:space="preserve"> Animals [34]</t>
  </si>
  <si>
    <t>Organizations [2]</t>
  </si>
  <si>
    <t xml:space="preserve"> Political [175]</t>
  </si>
  <si>
    <t>People [39]</t>
  </si>
  <si>
    <t xml:space="preserve"> Discoverers [7]</t>
  </si>
  <si>
    <t xml:space="preserve"> Famous [191]</t>
  </si>
  <si>
    <t xml:space="preserve">  Famous Quotes [1]</t>
  </si>
  <si>
    <t xml:space="preserve">  Women [1]</t>
  </si>
  <si>
    <t xml:space="preserve"> Inventors [6]</t>
  </si>
  <si>
    <t xml:space="preserve"> Leaders [2257]</t>
  </si>
  <si>
    <t xml:space="preserve">  Military [1]</t>
  </si>
  <si>
    <t xml:space="preserve">  Political [10]</t>
  </si>
  <si>
    <t xml:space="preserve">  Presidents [463]</t>
  </si>
  <si>
    <t xml:space="preserve"> Singers and Composers [1]</t>
  </si>
  <si>
    <t xml:space="preserve"> Writers [18]</t>
  </si>
  <si>
    <t>Politics [1]</t>
  </si>
  <si>
    <t xml:space="preserve"> American Presidents [1494]</t>
  </si>
  <si>
    <t xml:space="preserve"> Constitution-The [45]</t>
  </si>
  <si>
    <t xml:space="preserve"> Elections [7]</t>
  </si>
  <si>
    <t xml:space="preserve"> Law &amp; Order [101]</t>
  </si>
  <si>
    <t xml:space="preserve"> Leaders [129]</t>
  </si>
  <si>
    <t xml:space="preserve"> Political Parties [228]</t>
  </si>
  <si>
    <t xml:space="preserve"> US Government [95]</t>
  </si>
  <si>
    <t xml:space="preserve"> World Politics</t>
  </si>
  <si>
    <t xml:space="preserve">  Conferences [1]</t>
  </si>
  <si>
    <t xml:space="preserve">  Treatys [2]</t>
  </si>
  <si>
    <t>Religion &amp; Philosophy [15]</t>
  </si>
  <si>
    <t xml:space="preserve"> Bible-The [429]</t>
  </si>
  <si>
    <t xml:space="preserve">  NT-New Testament [74]</t>
  </si>
  <si>
    <t xml:space="preserve">  OT-Old Testament [130]</t>
  </si>
  <si>
    <t xml:space="preserve"> Customs [212]</t>
  </si>
  <si>
    <t xml:space="preserve"> Facts &amp; Figures [721]</t>
  </si>
  <si>
    <t xml:space="preserve"> Holydays [161]</t>
  </si>
  <si>
    <t xml:space="preserve"> Non Christian Religions [1907]</t>
  </si>
  <si>
    <t xml:space="preserve"> Religious Leaders [1]</t>
  </si>
  <si>
    <t xml:space="preserve"> What We Believe [624]</t>
  </si>
  <si>
    <t>Science [35]</t>
  </si>
  <si>
    <t xml:space="preserve"> Astronomy [59]</t>
  </si>
  <si>
    <t xml:space="preserve"> Biology [1]</t>
  </si>
  <si>
    <t xml:space="preserve"> Earth [4]</t>
  </si>
  <si>
    <t xml:space="preserve"> Engineering [1]</t>
  </si>
  <si>
    <t xml:space="preserve"> Facts &amp; Figures [536]</t>
  </si>
  <si>
    <t xml:space="preserve"> Medicine &amp; Health [82]</t>
  </si>
  <si>
    <t xml:space="preserve"> Milestones [2]</t>
  </si>
  <si>
    <t xml:space="preserve"> Technology &amp; Inventions [5]</t>
  </si>
  <si>
    <t xml:space="preserve"> Trigonometry [1]</t>
  </si>
  <si>
    <t xml:space="preserve"> Weights &amp; Measures [14]</t>
  </si>
  <si>
    <t>Sexuality [1]</t>
  </si>
  <si>
    <t>Sports</t>
  </si>
  <si>
    <t xml:space="preserve"> College [2]</t>
  </si>
  <si>
    <t xml:space="preserve"> Facts And Figures [5]</t>
  </si>
  <si>
    <t xml:space="preserve"> Horse [15]</t>
  </si>
  <si>
    <t xml:space="preserve"> Olympic [1645]</t>
  </si>
  <si>
    <t xml:space="preserve"> Professional [27]</t>
  </si>
  <si>
    <t xml:space="preserve">  BK-Basketball [30]</t>
  </si>
  <si>
    <t xml:space="preserve">  Baseball [0]</t>
  </si>
  <si>
    <t xml:space="preserve">  Football [34]</t>
  </si>
  <si>
    <t xml:space="preserve">  Hockey [30]</t>
  </si>
  <si>
    <t xml:space="preserve">  Soccer [14]</t>
  </si>
  <si>
    <t xml:space="preserve"> Sailing [32]</t>
  </si>
  <si>
    <t xml:space="preserve"> Skiing [9]</t>
  </si>
  <si>
    <t xml:space="preserve"> Team Sports</t>
  </si>
  <si>
    <t xml:space="preserve">  BK-Basketball [18]</t>
  </si>
  <si>
    <t xml:space="preserve">  Baseball [9]</t>
  </si>
  <si>
    <t xml:space="preserve">  College [483]</t>
  </si>
  <si>
    <t>Testing Material [13]</t>
  </si>
  <si>
    <t>Travel</t>
  </si>
  <si>
    <t xml:space="preserve"> Aviation [6]</t>
  </si>
  <si>
    <t xml:space="preserve"> Points of Interest [5]</t>
  </si>
  <si>
    <t xml:space="preserve"> US-United States [5]</t>
  </si>
  <si>
    <t xml:space="preserve">  Central [3]</t>
  </si>
  <si>
    <t xml:space="preserve">  West [4]</t>
  </si>
  <si>
    <t>Ar/En/Si,</t>
  </si>
  <si>
    <t>Ar/Ga/Ca</t>
  </si>
  <si>
    <t>Ar/Ch</t>
  </si>
  <si>
    <t>Ar/Bo/Ch</t>
  </si>
  <si>
    <t>Ar,Arts &amp; Entertainment [25]</t>
  </si>
  <si>
    <t>Ar/Ar,Artist [118]</t>
  </si>
  <si>
    <t>Ar/Bo,Books [26]</t>
  </si>
  <si>
    <t>Ar/Bo/Ch,Characters [4]</t>
  </si>
  <si>
    <t>Ar/Ch,Childhood Literature [3]</t>
  </si>
  <si>
    <t>Ar/Co,Comic Books [3]</t>
  </si>
  <si>
    <t>Ar/En,Entertainers [6]</t>
  </si>
  <si>
    <t>Ar/En/Si,Singers [1]</t>
  </si>
  <si>
    <t>Ar/Fi,Fiction &amp; Mythology [12]</t>
  </si>
  <si>
    <t>Ar/Ga,Games</t>
  </si>
  <si>
    <t>Ar/Ga/Ca,Card [81]</t>
  </si>
  <si>
    <t>Ar/Ga/Tr,Trivia [12]</t>
  </si>
  <si>
    <t>Ar/Li,Literature &amp; Authors [5]</t>
  </si>
  <si>
    <t>Ar/Li/Sh,Shakespeare [2]</t>
  </si>
  <si>
    <t>Bu,Business [1]</t>
  </si>
  <si>
    <t>Ci,Civics [5]</t>
  </si>
  <si>
    <t>Co,Communications [2]</t>
  </si>
  <si>
    <t>Cu,Current Events [3]</t>
  </si>
  <si>
    <t>Di,Disasters [132]</t>
  </si>
  <si>
    <t>Ev,Every Day Living [6]</t>
  </si>
  <si>
    <t>Ga,Games</t>
  </si>
  <si>
    <t>Ge,Geography</t>
  </si>
  <si>
    <t>He,Health And Fitness [8]</t>
  </si>
  <si>
    <t>Hi,History [10]</t>
  </si>
  <si>
    <t>La,Language</t>
  </si>
  <si>
    <t>Li,Life And Death [351]</t>
  </si>
  <si>
    <t>Mi,Military [1569]</t>
  </si>
  <si>
    <t>Na,Nature [3]</t>
  </si>
  <si>
    <t>Or,Organizations [2]</t>
  </si>
  <si>
    <t>Pe,People [39]</t>
  </si>
  <si>
    <t>Po,Politics [1]</t>
  </si>
  <si>
    <t>Re,Religion &amp; Philosophy [15]</t>
  </si>
  <si>
    <t>Sc,Science [35]</t>
  </si>
  <si>
    <t>Se,Sexuality [1]</t>
  </si>
  <si>
    <t>Sp,Sports</t>
  </si>
  <si>
    <t>Te,Testing Material [13]</t>
  </si>
  <si>
    <t>Tr,Travel</t>
  </si>
  <si>
    <t>Ar/Mo,Movies [12]</t>
  </si>
  <si>
    <t>Ar/Mo/Ac,Academy Awards [572]</t>
  </si>
  <si>
    <t>Ar/Mu,Music &amp; Song [182]</t>
  </si>
  <si>
    <t>Ar/Mu/Ba,Ballet [1]</t>
  </si>
  <si>
    <t>Ar/Mu/Cl,Classical Music [5613]</t>
  </si>
  <si>
    <t>Ar/Mu/Mi,Military and patriotic [1429]</t>
  </si>
  <si>
    <t>Ar/Mu/Po,Popular [162]</t>
  </si>
  <si>
    <t>Ar/Po,Poems [133]</t>
  </si>
  <si>
    <t>Ar/Qu,Quotes [1]</t>
  </si>
  <si>
    <t>Ar/Sc,Science Fiction [1]</t>
  </si>
  <si>
    <t>Ar/TV,TV</t>
  </si>
  <si>
    <t>Ar/TV/Si,SitComs [3]</t>
  </si>
  <si>
    <t>Bu/Mo,Money &amp; Finance [51]</t>
  </si>
  <si>
    <t>Bu/Pr,Professions [8]</t>
  </si>
  <si>
    <t>Bu/To,Top Companies [1]</t>
  </si>
  <si>
    <t>Ci/US,US [1976]</t>
  </si>
  <si>
    <t>Ci/US/La,Laws [101]</t>
  </si>
  <si>
    <t>Co/Si,Signs &amp; Symbols [2]</t>
  </si>
  <si>
    <t>Co/Sl,Slang [2]</t>
  </si>
  <si>
    <t>Co/Wo,Words &amp; Phrases [14]</t>
  </si>
  <si>
    <t>Cu/Di,Diasters [15]</t>
  </si>
  <si>
    <t>Cu/Ne,Newspaper Headlines [97]</t>
  </si>
  <si>
    <t>Cu/Pe,People In The News [474]</t>
  </si>
  <si>
    <t>Cu/Pl,Places in the News [82]</t>
  </si>
  <si>
    <t>Cu/Sc,Scandals [4]</t>
  </si>
  <si>
    <t>Ev/Co,Cooking [1]</t>
  </si>
  <si>
    <t>Ev/Cu,Currency [212]</t>
  </si>
  <si>
    <t>Ev/Dr,Dress [14]</t>
  </si>
  <si>
    <t>Ev/Fa,Facts And Figures [98]</t>
  </si>
  <si>
    <t>Ev/Fi,Finances [46]</t>
  </si>
  <si>
    <t>Ev/Fi/Sa,Salary [14]</t>
  </si>
  <si>
    <t>Ev/Go,Government</t>
  </si>
  <si>
    <t>Ev/Go/Fe,Federal [157]</t>
  </si>
  <si>
    <t>Ev/Go/Fe/Mi,Military [2]</t>
  </si>
  <si>
    <t>Ev/He,Health &amp; Fitness [1]</t>
  </si>
  <si>
    <t>Ev/Ho,How We Spend Out Time [1]</t>
  </si>
  <si>
    <t>Ev/Ho/Ho,Holidays [1]</t>
  </si>
  <si>
    <t>Ev/In,Interesting Facts [10]</t>
  </si>
  <si>
    <t>Ev/Le,Leisure Time [4]</t>
  </si>
  <si>
    <t>Ev/Me,Measurements [8]</t>
  </si>
  <si>
    <t>Ev/Mo,Modern Times [1]</t>
  </si>
  <si>
    <t>Ev/Pe,Pets [3]</t>
  </si>
  <si>
    <t>Ev/Po,Popular Culture [151]</t>
  </si>
  <si>
    <t>Ev/Qu,Quotes [30]</t>
  </si>
  <si>
    <t>Ev/Ra,Race [1]</t>
  </si>
  <si>
    <t>Ev/Wo,Work [8]</t>
  </si>
  <si>
    <t>Ga/Bo,Board [1]</t>
  </si>
  <si>
    <t>Ga/Ca,Card [1]</t>
  </si>
  <si>
    <t>Ge/Am,American [36]</t>
  </si>
  <si>
    <t>Ge/Am/Ci,City [1410]</t>
  </si>
  <si>
    <t>Ge/Am/Hi,Highways [39]</t>
  </si>
  <si>
    <t>Ge/Ci,Cities [16]</t>
  </si>
  <si>
    <t>Ge/Co,Countries [24]</t>
  </si>
  <si>
    <t>Ge/Co/Ci,Cities</t>
  </si>
  <si>
    <t>Ge/Co/Ci/Ca,Capitals [7]</t>
  </si>
  <si>
    <t>Ge/Di,Distance [5]</t>
  </si>
  <si>
    <t>Ge/Fa,Famous Places &amp; Things [191]</t>
  </si>
  <si>
    <t>Ge/Ge,Geographic Points of Interest [8]</t>
  </si>
  <si>
    <t>Ge/Na,Natural Wonders [26]</t>
  </si>
  <si>
    <t>Ge/Pa,Parks &amp; Monuments [172]</t>
  </si>
  <si>
    <t>Ge/So,South America [3]</t>
  </si>
  <si>
    <t>Ge/St,States [871]</t>
  </si>
  <si>
    <t>Ge/St/AK,AK-Alaska [84]</t>
  </si>
  <si>
    <t>Ge/St/AL,AL-Alabama [53]</t>
  </si>
  <si>
    <t>Ge/St/AR,AR-Arkansas [51]</t>
  </si>
  <si>
    <t>Ge/St/AZ,AZ-Arizona [52]</t>
  </si>
  <si>
    <t>Ge/St/CA,CA-California [42]</t>
  </si>
  <si>
    <t>Ge/St/CO,CO-Colorado [46]</t>
  </si>
  <si>
    <t>Ge/St/CT,CT-Connecticut [49]</t>
  </si>
  <si>
    <t>Ge/St/DE,DE-Delaware [43]</t>
  </si>
  <si>
    <t>Ge/St/FL,FL-Florida [49]</t>
  </si>
  <si>
    <t>Ge/St/Fl,Flags [410]</t>
  </si>
  <si>
    <t>Ge/St/GA,GA-Georgia [46]</t>
  </si>
  <si>
    <t>Ge/St/HI,HI-Hawaii [30]</t>
  </si>
  <si>
    <t>Ge/St/IA,IA-Iowa [46]</t>
  </si>
  <si>
    <t>Ge/St/ID,ID-Idaho [46]</t>
  </si>
  <si>
    <t>Ge/St/IL,IL-Illinois [46]</t>
  </si>
  <si>
    <t>Ge/St/IN,IN-Indiana [43]</t>
  </si>
  <si>
    <t>Ge/St/KS,KS-Kansas [44]</t>
  </si>
  <si>
    <t>Ge/St/KY,KY-Kentucky [47]</t>
  </si>
  <si>
    <t>Ge/St/LA,LA-Louisiana [44]</t>
  </si>
  <si>
    <t>Ge/St/MA,MA-Massachusetts [44]</t>
  </si>
  <si>
    <t>Ge/St/MD,MD-Maryland [44]</t>
  </si>
  <si>
    <t>Ge/St/ME,ME-Maine [47]</t>
  </si>
  <si>
    <t>Ge/St/MI,MI-Michigan [47]</t>
  </si>
  <si>
    <t>Ge/St/MN,MN-Minnesota [47]</t>
  </si>
  <si>
    <t>Ge/St/MO,MO-Missouri [47]</t>
  </si>
  <si>
    <t>Ge/St/MS,MS-Mississippi [52]</t>
  </si>
  <si>
    <t>Ge/St/MT,MT-Montana [47]</t>
  </si>
  <si>
    <t>Ge/St/NC,NC-North Carolina [46]</t>
  </si>
  <si>
    <t>Ge/St/ND,ND-North Dakota [46]</t>
  </si>
  <si>
    <t>Ge/St/NE,NE-Nebraska [43]</t>
  </si>
  <si>
    <t>Ge/St/NH,NH-New Hampshire [43]</t>
  </si>
  <si>
    <t>Ge/St/NJ,NJ-New Jersey [43]</t>
  </si>
  <si>
    <t>Ge/St/NM,NM-New Mexico [46]</t>
  </si>
  <si>
    <t>Ge/St/NV,NV-Nevada [46]</t>
  </si>
  <si>
    <t>Ge/St/NY,NY-New York [43]</t>
  </si>
  <si>
    <t>Ge/St/OH,OH-Ohio [43]</t>
  </si>
  <si>
    <t>Ge/St/OK,OK-Oklahoma [43]</t>
  </si>
  <si>
    <t>Ge/St/OR,OR-Oregon [43]</t>
  </si>
  <si>
    <t>Ge/St/PA,PA-Pennsylvania [23]</t>
  </si>
  <si>
    <t>Ge/St/RI,RI-Rhode Island [44]</t>
  </si>
  <si>
    <t>Ge/St/SC,SC-South Carolina [44]</t>
  </si>
  <si>
    <t>Ge/St/SD,SD-South Dakota [45]</t>
  </si>
  <si>
    <t>Ge/St/TN,TN-Tennessee [44]</t>
  </si>
  <si>
    <t>Ge/St/TX,TX-Texas [41]</t>
  </si>
  <si>
    <t>Ge/St/UT,UT-Utah [42]</t>
  </si>
  <si>
    <t>Ge/St/VA,VA-Virginia [41]</t>
  </si>
  <si>
    <t>Ge/St/VT,VT-Vermont [44]</t>
  </si>
  <si>
    <t>Ge/St/WA,WA-Washington [39]</t>
  </si>
  <si>
    <t>Ge/St/WI,WI-Wisconsin [44]</t>
  </si>
  <si>
    <t>Ge/St/WV,WV-West Virginia [35]</t>
  </si>
  <si>
    <t>Ge/St/WY,WY-Wyoming [35]</t>
  </si>
  <si>
    <t>Ge/US,US Capitals [128]</t>
  </si>
  <si>
    <t>Ge/Wa,Waterways [34]</t>
  </si>
  <si>
    <t>Ge/Wo,World Capitals [1]</t>
  </si>
  <si>
    <t>Hi/Aw,Awards Achievements &amp; Milestones [11]</t>
  </si>
  <si>
    <t>Hi/Da,Dark_History [23]</t>
  </si>
  <si>
    <t>Hi/De,Deaths [58]</t>
  </si>
  <si>
    <t>Hi/De/Ex,Excecutions [3]</t>
  </si>
  <si>
    <t>Hi/Ev,Events That Changed History [105]</t>
  </si>
  <si>
    <t>Hi/Ev/Fi,Financial [1]</t>
  </si>
  <si>
    <t>Hi/Ex,Explorers Discovers &amp; Scientists [3]</t>
  </si>
  <si>
    <t>Hi/Fa,Facts And Figures [266]</t>
  </si>
  <si>
    <t>Hi/Hi,Historic Things &amp; Places [265]</t>
  </si>
  <si>
    <t>Hi/In,Influential People [442]</t>
  </si>
  <si>
    <t>Hi/Ma,Major Events In History [15]</t>
  </si>
  <si>
    <t>Hi/Ma/As,Assassinations [4]</t>
  </si>
  <si>
    <t>Hi/Ma/Ba,Battles [322]</t>
  </si>
  <si>
    <t>Hi/Ma/Di,Discovery [10]</t>
  </si>
  <si>
    <t>Hi/Ma/Fi,Firsts [13]</t>
  </si>
  <si>
    <t>Hi/Ma/Ri,Riots [6]</t>
  </si>
  <si>
    <t>Hi/Ma/Wa,Wars [190]</t>
  </si>
  <si>
    <t>Hi/Mi,Military Leaders [4]</t>
  </si>
  <si>
    <t>Hi/Po,Political [289]</t>
  </si>
  <si>
    <t>Hi/Re,Recent</t>
  </si>
  <si>
    <t>Hi/Re/20,2000 [8]</t>
  </si>
  <si>
    <t>Hi/Re/50,50's [8]</t>
  </si>
  <si>
    <t>Hi/Re/60,60's [8]</t>
  </si>
  <si>
    <t>Hi/Re/70,70's [8]</t>
  </si>
  <si>
    <t>Hi/Re/80,80's [8]</t>
  </si>
  <si>
    <t>Hi/Re/90,90's [8]</t>
  </si>
  <si>
    <t>Hi/Sc,Scandals [2]</t>
  </si>
  <si>
    <t>Hi/Sp,Speaches [5]</t>
  </si>
  <si>
    <t>Hi/Sp/De,Debates [2]</t>
  </si>
  <si>
    <t>Hi/Tr,Trials [7]</t>
  </si>
  <si>
    <t>Hi/Wa,Wars &amp; Interventions [419]</t>
  </si>
  <si>
    <t>La/Wo,Words [95]</t>
  </si>
  <si>
    <t>Mi/Ai,Air Planes [94]</t>
  </si>
  <si>
    <t>Mi/Ba,Battles [118]</t>
  </si>
  <si>
    <t>Mi/Ev,Events [1403]</t>
  </si>
  <si>
    <t>Mi/Le,Leaders</t>
  </si>
  <si>
    <t>Mi/Le/Na,Navy [167]</t>
  </si>
  <si>
    <t>Mi/Ra,Ranks [19]</t>
  </si>
  <si>
    <t>Mi/Sh,Ships [117]</t>
  </si>
  <si>
    <t>Na/An,Animals [34]</t>
  </si>
  <si>
    <t>Or/Po,Political [175]</t>
  </si>
  <si>
    <t>Pe/Di,Discoverers [7]</t>
  </si>
  <si>
    <t>Pe/Fa,Famous [191]</t>
  </si>
  <si>
    <t>Pe/Fa/Fa,Famous Quotes [1]</t>
  </si>
  <si>
    <t>Pe/Fa/Wo,Women [1]</t>
  </si>
  <si>
    <t>Pe/In,Inventors [6]</t>
  </si>
  <si>
    <t>Pe/Le,Leaders [2257]</t>
  </si>
  <si>
    <t>Pe/Le/Mi,Military [1]</t>
  </si>
  <si>
    <t>Pe/Le/Po,Political [10]</t>
  </si>
  <si>
    <t>Pe/Le/Pr,Presidents [463]</t>
  </si>
  <si>
    <t>Pe/Si,Singers and Composers [1]</t>
  </si>
  <si>
    <t>Pe/Wr,Writers [18]</t>
  </si>
  <si>
    <t>Po/Am,American Presidents [1494]</t>
  </si>
  <si>
    <t>Po/Co,Constitution-The [45]</t>
  </si>
  <si>
    <t>Po/El,Elections [7]</t>
  </si>
  <si>
    <t>Po/La,Law &amp; Order [101]</t>
  </si>
  <si>
    <t>Po/Le,Leaders [129]</t>
  </si>
  <si>
    <t>Po/Po,Political Parties [228]</t>
  </si>
  <si>
    <t>Po/US,US Government [95]</t>
  </si>
  <si>
    <t>Po/Wo,World Politics</t>
  </si>
  <si>
    <t>Po/Wo/Co,Conferences [1]</t>
  </si>
  <si>
    <t>Po/Wo/Tr,Treatys [2]</t>
  </si>
  <si>
    <t>Re/Bi,Bible-The [429]</t>
  </si>
  <si>
    <t>Re/Bi/NT,NT-New Testament [74]</t>
  </si>
  <si>
    <t>Re/Bi/OT,OT-Old Testament [130]</t>
  </si>
  <si>
    <t>Re/Cu,Customs [212]</t>
  </si>
  <si>
    <t>Re/Fa,Facts &amp; Figures [721]</t>
  </si>
  <si>
    <t>Re/Ho,Holydays [161]</t>
  </si>
  <si>
    <t>Re/No,Non Christian Religions [1907]</t>
  </si>
  <si>
    <t>Re/Re,Religious Leaders [1]</t>
  </si>
  <si>
    <t>Re/Wh,What We Believe [624]</t>
  </si>
  <si>
    <t>Sc/As,Astronomy [59]</t>
  </si>
  <si>
    <t>Sc/Bi,Biology [1]</t>
  </si>
  <si>
    <t>Sc/Ea,Earth [4]</t>
  </si>
  <si>
    <t>Sc/En,Engineering [1]</t>
  </si>
  <si>
    <t>Sc/Fa,Facts &amp; Figures [536]</t>
  </si>
  <si>
    <t>Sc/Me,Medicine &amp; Health [82]</t>
  </si>
  <si>
    <t>Sc/Mi,Milestones [2]</t>
  </si>
  <si>
    <t>Sc/Te,Technology &amp; Inventions [5]</t>
  </si>
  <si>
    <t>Sc/Tr,Trigonometry [1]</t>
  </si>
  <si>
    <t>Sc/We,Weights &amp; Measures [14]</t>
  </si>
  <si>
    <t>Sp/Co,College [2]</t>
  </si>
  <si>
    <t>Sp/Fa,Facts And Figures [5]</t>
  </si>
  <si>
    <t>Sp/Ho,Horse [15]</t>
  </si>
  <si>
    <t>Sp/Ol,Olympic [1645]</t>
  </si>
  <si>
    <t>Sp/Pr,Professional [27]</t>
  </si>
  <si>
    <t>Sp/Pr/BK,BK-Basketball [30]</t>
  </si>
  <si>
    <t>Sp/Pr/Ba,Baseball [0]</t>
  </si>
  <si>
    <t>Sp/Pr/Fo,Football [34]</t>
  </si>
  <si>
    <t>Sp/Pr/Ho,Hockey [30]</t>
  </si>
  <si>
    <t>Sp/Pr/So,Soccer [14]</t>
  </si>
  <si>
    <t>Sp/Sa,Sailing [32]</t>
  </si>
  <si>
    <t>Sp/Sk,Skiing [9]</t>
  </si>
  <si>
    <t>Sp/Te,Team Sports</t>
  </si>
  <si>
    <t>Sp/Te/BK,BK-Basketball [18]</t>
  </si>
  <si>
    <t>Sp/Te/Ba,Baseball [9]</t>
  </si>
  <si>
    <t>Sp/Te/Co,College [483]</t>
  </si>
  <si>
    <t>Tr/Av,Aviation [6]</t>
  </si>
  <si>
    <t>Tr/Po,Points of Interest [5]</t>
  </si>
  <si>
    <t>Tr/US,US-United States [5]</t>
  </si>
  <si>
    <t>Tr/US/Ce,Central [3]</t>
  </si>
  <si>
    <t>Tr/US/We,West [4]</t>
  </si>
  <si>
    <t>AA.Qen00421,9.00,100,0,Misc questions,Misc questions,</t>
  </si>
  <si>
    <t>AA.Qen00422,9.00,100,0,Misc questions,Misc questions,</t>
  </si>
  <si>
    <t>AA.Qen00423,9.00,100,0,Misc questions,Questions about fictious characters,</t>
  </si>
  <si>
    <t>AA.Men01783,9.00,100,0,Misc questions,What are they famous for for,</t>
  </si>
  <si>
    <t>AA.Men01784,9.00,100,0,Misc questions,What are they famous for for,</t>
  </si>
  <si>
    <t>AA.Men01785,9.00,100,0,Misc questions,What are they famous for for,</t>
  </si>
  <si>
    <t>AA.Men01786,9.00,100,0,Misc questions,What are they famous for for,</t>
  </si>
  <si>
    <t>AA.Uen01114,9.00,100,0,Misc questions,What are they famous for for,</t>
  </si>
  <si>
    <t>AA.Uen01115,9.00,100,0,Misc questions,What are they famous for for,</t>
  </si>
  <si>
    <t>AA.Uen01116,9.00,100,0,Misc questions,What are they famous for for,</t>
  </si>
  <si>
    <t>AA.Uen01117,9.00,100,0,Misc questions,What are they famous for for,</t>
  </si>
  <si>
    <t>AA.Uen01118,9.00,100,0,Misc questions,What are they famous for for,</t>
  </si>
  <si>
    <t>function create2CharCodes(){</t>
  </si>
  <si>
    <t xml:space="preserve"> /**</t>
  </si>
  <si>
    <t xml:space="preserve"> This function takes the list of LDAP folders and creates the codes to download them</t>
  </si>
  <si>
    <t xml:space="preserve"> The codes are used to dlown load the rnds where   Ar/Bo/Ch   is the code</t>
  </si>
  <si>
    <t xml:space="preserve"> example https://www.edugames.com/cgi-bin/GetRndsTSD.pl?1.00,16.00,LDAP,TrivCode/' + Ar/Bo/Ch + ',false,' ;</t>
  </si>
  <si>
    <t xml:space="preserve">  </t>
  </si>
  <si>
    <t>Arts &amp; Entertainment [25] These are indented and a spreadsheet adds the number of indents</t>
  </si>
  <si>
    <t xml:space="preserve">  *********** With the number of indents</t>
  </si>
  <si>
    <t>|0,Arts &amp; Entertainment [25]</t>
  </si>
  <si>
    <t>|1,Artist [118]</t>
  </si>
  <si>
    <t>|1,Books [26]</t>
  </si>
  <si>
    <t>|2,Characters [4]</t>
  </si>
  <si>
    <t>|1,Childhood Literature [3]</t>
  </si>
  <si>
    <t>|1,Comic Books [3]</t>
  </si>
  <si>
    <t>|1,Entertainers [6]</t>
  </si>
  <si>
    <t>******************</t>
  </si>
  <si>
    <t xml:space="preserve"> It then creates the following that can be inserted into the chesk box lies</t>
  </si>
  <si>
    <t>Ar</t>
  </si>
  <si>
    <t>Ar/Ar</t>
  </si>
  <si>
    <t>Ar/Bo</t>
  </si>
  <si>
    <t>Ar/Co</t>
  </si>
  <si>
    <t>Ar/En</t>
  </si>
  <si>
    <t>*****************</t>
  </si>
  <si>
    <t>Example &lt;li&gt;&lt;input type='checkbox'class= 'ckbx' name='81'value='Ar/Ga/Ca'&gt;&amp;nbsp;&amp;nbsp;&amp;nbsp;&amp;nbsp;Card [81]&lt;/li&gt;</t>
  </si>
  <si>
    <t xml:space="preserve"> </t>
  </si>
  <si>
    <t xml:space="preserve"> *//</t>
  </si>
  <si>
    <t xml:space="preserve">    const data = `Place Data here` ;</t>
  </si>
  <si>
    <t xml:space="preserve">    </t>
  </si>
  <si>
    <t xml:space="preserve">  const arr = data.split("|")</t>
  </si>
  <si>
    <t xml:space="preserve">       console.log("*** " + arr.length  ) </t>
  </si>
  <si>
    <t xml:space="preserve">  let s0 = ""; </t>
  </si>
  <si>
    <t xml:space="preserve">  let s1 = "";</t>
  </si>
  <si>
    <t xml:space="preserve">  let s2 = "";</t>
  </si>
  <si>
    <t xml:space="preserve">  let s3 = "";</t>
  </si>
  <si>
    <t xml:space="preserve">  let s4 = "";</t>
  </si>
  <si>
    <t xml:space="preserve">  let s5 = "";</t>
  </si>
  <si>
    <t xml:space="preserve">  let s6 = "";</t>
  </si>
  <si>
    <t xml:space="preserve">  let s7 = "";</t>
  </si>
  <si>
    <t xml:space="preserve">  let nbr = 0;</t>
  </si>
  <si>
    <t xml:space="preserve">  let str = "";</t>
  </si>
  <si>
    <t xml:space="preserve">  let dataOut = ""  </t>
  </si>
  <si>
    <t xml:space="preserve">  for(let i = 0;i&lt; arr.length;i++){</t>
  </si>
  <si>
    <t xml:space="preserve">      result = "";   </t>
  </si>
  <si>
    <t xml:space="preserve">      arrX =  arr[i].split(",");</t>
  </si>
  <si>
    <t xml:space="preserve">      nbr = arrX[0];</t>
  </si>
  <si>
    <t xml:space="preserve">      str = arrX[1];</t>
  </si>
  <si>
    <t xml:space="preserve">      if(nbr == 0){</t>
  </si>
  <si>
    <t xml:space="preserve">         hiNbr = 0;</t>
  </si>
  <si>
    <t xml:space="preserve">         //console.log(i + "str "  + str )</t>
  </si>
  <si>
    <t xml:space="preserve">         s0 = str.substring(0,2);</t>
  </si>
  <si>
    <t xml:space="preserve">         result += s0;</t>
  </si>
  <si>
    <t xml:space="preserve">      } else if(nbr == 1) {</t>
  </si>
  <si>
    <t xml:space="preserve">        s1 = str.substring(0,2);</t>
  </si>
  <si>
    <t xml:space="preserve">        result += s0 + "/" + s1;</t>
  </si>
  <si>
    <t xml:space="preserve">      } else if(nbr == 2){</t>
  </si>
  <si>
    <t xml:space="preserve">        s2 = str.substring(0,2);</t>
  </si>
  <si>
    <t xml:space="preserve">        result += s0 + "/" + s1 + "/" + s2 ;</t>
  </si>
  <si>
    <t xml:space="preserve">      } else if(nbr == 3){</t>
  </si>
  <si>
    <t xml:space="preserve">        s3 = str.substring(0,2);</t>
  </si>
  <si>
    <t xml:space="preserve">        result += s0 + "/" + s1 + "/" + s2  + "/" + s3;</t>
  </si>
  <si>
    <t xml:space="preserve">      }else if(nbr == 4){</t>
  </si>
  <si>
    <t xml:space="preserve">        s4 = str.substring(0,2);</t>
  </si>
  <si>
    <t xml:space="preserve">      }else if(nbr == 5){</t>
  </si>
  <si>
    <t xml:space="preserve">        s5 = str.substring(0,2);</t>
  </si>
  <si>
    <t xml:space="preserve">      }else if(nbr == 6){</t>
  </si>
  <si>
    <t xml:space="preserve">        s6 = str.substring(0,2);</t>
  </si>
  <si>
    <t xml:space="preserve">      }else if(nbr == 7){</t>
  </si>
  <si>
    <t xml:space="preserve">        s7 = str.substring(0,2);</t>
  </si>
  <si>
    <t xml:space="preserve">      }</t>
  </si>
  <si>
    <t xml:space="preserve">      dataOut +=   result + "," + str</t>
  </si>
  <si>
    <t xml:space="preserve">             </t>
  </si>
  <si>
    <t xml:space="preserve">  }</t>
  </si>
  <si>
    <t xml:space="preserve">   console.log(dataOut  )</t>
  </si>
  <si>
    <t xml:space="preserve"> }</t>
  </si>
  <si>
    <t>This is Java Script Code to create one of the columns in the preceeding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</si>
</sst>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FC47-A1E0-4CB3-B562-03FBEE442C81}">
  <dimension ref="A11:AB265"/>
  <sheetViews>
    <sheetView tabSelected="1" topLeftCell="H253" workbookViewId="0">
      <selection activeCell="R11" sqref="R11:R265"/>
    </sheetView>
  </sheetViews>
  <sheetFormatPr defaultRowHeight="15" x14ac:dyDescent="0.25"/>
  <cols>
    <col min="1" max="1" width="3.42578125" customWidth="1"/>
    <col min="2" max="2" width="1.140625" customWidth="1"/>
    <col min="3" max="3" width="7" customWidth="1"/>
    <col min="4" max="4" width="3.85546875" customWidth="1"/>
    <col min="6" max="6" width="5.28515625" customWidth="1"/>
    <col min="7" max="7" width="7.85546875" customWidth="1"/>
    <col min="8" max="8" width="44.28515625" customWidth="1"/>
    <col min="9" max="11" width="5.28515625" customWidth="1"/>
    <col min="12" max="12" width="31.42578125" customWidth="1"/>
    <col min="13" max="13" width="10.140625" customWidth="1"/>
    <col min="14" max="14" width="5.7109375" customWidth="1"/>
    <col min="15" max="15" width="4" customWidth="1"/>
    <col min="16" max="16" width="21.5703125" customWidth="1"/>
    <col min="17" max="17" width="28.5703125" customWidth="1"/>
    <col min="18" max="18" width="97.7109375" customWidth="1"/>
    <col min="19" max="19" width="8.85546875" customWidth="1"/>
    <col min="20" max="20" width="28.42578125" customWidth="1"/>
    <col min="21" max="21" width="48.5703125" customWidth="1"/>
    <col min="22" max="22" width="28.7109375" customWidth="1"/>
    <col min="23" max="23" width="26.7109375" customWidth="1"/>
    <col min="24" max="24" width="4.7109375" customWidth="1"/>
  </cols>
  <sheetData>
    <row r="11" spans="1:27" x14ac:dyDescent="0.25">
      <c r="A11">
        <f>FIND("[",V11)</f>
        <v>22</v>
      </c>
      <c r="B11">
        <f>FIND("]",V11)</f>
        <v>25</v>
      </c>
      <c r="C11" t="str">
        <f t="shared" ref="C11:C24" si="0">MID(V11,A11+1,9)</f>
        <v>25]</v>
      </c>
      <c r="D11">
        <f>LEN(C11)</f>
        <v>3</v>
      </c>
      <c r="E11" t="str">
        <f>MID(C11,1,D11-1)</f>
        <v>25</v>
      </c>
      <c r="F11" t="str">
        <f t="shared" ref="F11:F24" si="1">IF(ISERROR(D11),0,E11)</f>
        <v>25</v>
      </c>
      <c r="G11">
        <f>FIND(",",H11)</f>
        <v>3</v>
      </c>
      <c r="H11" t="s">
        <v>259</v>
      </c>
      <c r="I11" t="str">
        <f>IF(O11=0,"&lt;b&gt;","")</f>
        <v>&lt;b&gt;</v>
      </c>
      <c r="J11" t="str">
        <f>IF(O11=0,"&lt;/b&gt;","")</f>
        <v>&lt;/b&gt;</v>
      </c>
      <c r="K11">
        <f>24 - (O11*2)</f>
        <v>24</v>
      </c>
      <c r="L11" t="str">
        <f>"|"&amp;O11&amp;","&amp;W11</f>
        <v>|0,Arts &amp; Entertainment [25]</v>
      </c>
      <c r="N11" t="str">
        <f>MID(W11,1,2)</f>
        <v>Ar</v>
      </c>
      <c r="O11">
        <f>Z11-Y11</f>
        <v>0</v>
      </c>
      <c r="P11" t="str">
        <f>MID(H11,1,G11-1)</f>
        <v>Ar</v>
      </c>
      <c r="Q11" s="1" t="s">
        <v>0</v>
      </c>
      <c r="R11" s="2" t="str">
        <f>"&lt;li&gt;&lt;input type='checkbox'class= 'ckbx' name='"&amp;F11&amp;"'value='"&amp;P11&amp;"'&gt;"&amp;I11&amp;U11&amp;W11&amp;J11&amp;"&lt;/li&gt;"</f>
        <v>&lt;li&gt;&lt;input type='checkbox'class= 'ckbx' name='25'value='Ar'&gt;&lt;b&gt;Arts &amp; Entertainment [25]&lt;/b&gt;&lt;/li&gt;</v>
      </c>
      <c r="T11" t="str">
        <f>IF(AA11=0,"",IF(AA11=1,"&amp;nbsp;&amp;nbsp;",IF(AA11=2,"&amp;nbsp;&amp;nbsp;&amp;nbsp;&amp;nbsp;",IF(AA11=3,"&amp;nbsp;&amp;nbsp;&amp;nbsp;&amp;nbsp;&amp;nbsp;&amp;nbsp;",IF(AA11=4,"&amp;nbsp;&amp;nbsp;&amp;nbsp;&amp;nbsp;&amp;nbsp;&amp;nbsp;&amp;nbsp;&amp;nbsp;",IF(AA11=5,"&amp;nbsp;&amp;nbsp;&amp;nbsp;&amp;nbsp;&amp;nbsp;&amp;nbsp;&amp;nbsp;&amp;nbsp;&amp;nbsp;&amp;nbsp;&amp;nbsp;&amp;nbsp;"))))))</f>
        <v/>
      </c>
      <c r="U11" t="str">
        <f>IF(AA11=0,"",IF(AA11=1," _ _ ",IF(AA11=2," _ _ _ _",IF(AA11=3," _ _ _ _ _ _;",IF(AA11=4," _ _ _ _ _ _ _ _",IF(AA11=5," _ _ _ _ _ _ _ _ _ _",IF(AA11=6," _ _ _ _ _ _ _ _ _ _ _ _",IF(AA11=7," _ _ _ _ _ _ _ _ _ _ _ _ _ _"))))))))</f>
        <v/>
      </c>
      <c r="V11" s="1" t="s">
        <v>0</v>
      </c>
      <c r="W11" t="str">
        <f>TRIM(V11)</f>
        <v>Arts &amp; Entertainment [25]</v>
      </c>
      <c r="X11" t="str">
        <f>MID(W11,1,2)</f>
        <v>Ar</v>
      </c>
      <c r="Y11">
        <f>LEN(W11)</f>
        <v>25</v>
      </c>
      <c r="Z11">
        <f>LEN(V11)</f>
        <v>25</v>
      </c>
      <c r="AA11">
        <f>M11</f>
        <v>0</v>
      </c>
    </row>
    <row r="12" spans="1:27" x14ac:dyDescent="0.25">
      <c r="A12">
        <f t="shared" ref="A12:A24" si="2">FIND("[",V12)</f>
        <v>9</v>
      </c>
      <c r="B12">
        <f t="shared" ref="B12:B24" si="3">FIND("]",V12)</f>
        <v>13</v>
      </c>
      <c r="C12" t="str">
        <f t="shared" si="0"/>
        <v>118]</v>
      </c>
      <c r="D12">
        <f t="shared" ref="D12:D75" si="4">LEN(C12)</f>
        <v>4</v>
      </c>
      <c r="E12" t="str">
        <f t="shared" ref="E12:E24" si="5">MID(C12,1,D12-1)</f>
        <v>118</v>
      </c>
      <c r="F12" t="str">
        <f t="shared" si="1"/>
        <v>118</v>
      </c>
      <c r="G12">
        <f t="shared" ref="G12:G23" si="6">FIND(",",H12)</f>
        <v>6</v>
      </c>
      <c r="H12" t="s">
        <v>260</v>
      </c>
      <c r="I12" t="str">
        <f t="shared" ref="I12:I74" si="7">IF(O12=0,"&lt;b&gt;","")</f>
        <v/>
      </c>
      <c r="J12" t="str">
        <f t="shared" ref="J12:J74" si="8">IF(O12=0,"&lt;/b&gt;","")</f>
        <v/>
      </c>
      <c r="K12">
        <f t="shared" ref="K12:K74" si="9">24 - (O12*2)</f>
        <v>22</v>
      </c>
      <c r="L12" t="str">
        <f t="shared" ref="L12:L23" si="10">"|"&amp;O12&amp;","&amp;W12</f>
        <v>|1,Artist [118]</v>
      </c>
      <c r="N12" t="str">
        <f t="shared" ref="N12:N23" si="11">MID(W12,1,2)</f>
        <v>Ar</v>
      </c>
      <c r="O12">
        <f t="shared" ref="O12:O23" si="12">Z12-Y12</f>
        <v>1</v>
      </c>
      <c r="P12" t="str">
        <f t="shared" ref="P12:P23" si="13">MID(H12,1,G12-1)</f>
        <v>Ar/Ar</v>
      </c>
      <c r="Q12" s="1" t="s">
        <v>1</v>
      </c>
      <c r="R12" s="2" t="str">
        <f t="shared" ref="R12:R75" si="14">"&lt;li&gt;&lt;input type='checkbox'class= 'ckbx' name='"&amp;F12&amp;"'value='"&amp;P12&amp;"'&gt;"&amp;I12&amp;U12&amp;W12&amp;J12&amp;"&lt;/li&gt;"</f>
        <v>&lt;li&gt;&lt;input type='checkbox'class= 'ckbx' name='118'value='Ar/Ar'&gt; _ _ Artist [118]&lt;/li&gt;</v>
      </c>
      <c r="T12" t="str">
        <f>IF(AA12=0,"",IF(AA12=1,"&amp;nbsp;&amp;nbsp;",IF(AA12=2,"&amp;nbsp;&amp;nbsp;&amp;nbsp;&amp;nbsp;",IF(AA12=3,"&amp;nbsp;&amp;nbsp;&amp;nbsp;&amp;nbsp;&amp;nbsp;&amp;nbsp;",IF(AA12=4,"&amp;nbsp;&amp;nbsp;&amp;nbsp;&amp;nbsp;&amp;nbsp;&amp;nbsp;&amp;nbsp;&amp;nbsp;",IF(AA12=5,"&amp;nbsp;&amp;nbsp;&amp;nbsp;&amp;nbsp;&amp;nbsp;&amp;nbsp;&amp;nbsp;&amp;nbsp;&amp;nbsp;&amp;nbsp;&amp;nbsp;&amp;nbsp;"))))))</f>
        <v>&amp;nbsp;&amp;nbsp;</v>
      </c>
      <c r="U12" t="str">
        <f t="shared" ref="U12:U74" si="15">IF(AA12=0,"",IF(AA12=1," _ _ ",IF(AA12=2," _ _ _ _",IF(AA12=3," _ _ _ _ _ _;",IF(AA12=4," _ _ _ _ _ _ _ _",IF(AA12=5," _ _ _ _ _ _ _ _ _ _",IF(AA12=6," _ _ _ _ _ _ _ _ _ _ _ _",IF(AA12=7," _ _ _ _ _ _ _ _ _ _ _ _ _ _"))))))))</f>
        <v xml:space="preserve"> _ _ </v>
      </c>
      <c r="V12" s="1" t="s">
        <v>1</v>
      </c>
      <c r="W12" t="str">
        <f t="shared" ref="W12:W39" si="16">TRIM(V12)</f>
        <v>Artist [118]</v>
      </c>
      <c r="X12" t="str">
        <f t="shared" ref="X12:X75" si="17">MID(W12,1,2)</f>
        <v>Ar</v>
      </c>
      <c r="Y12">
        <f t="shared" ref="Y12:Y75" si="18">LEN(W12)</f>
        <v>12</v>
      </c>
      <c r="Z12">
        <f t="shared" ref="Z12:Z33" si="19">LEN(V12)</f>
        <v>13</v>
      </c>
      <c r="AA12">
        <f t="shared" ref="AA12:AA33" si="20">Z12-Y12</f>
        <v>1</v>
      </c>
    </row>
    <row r="13" spans="1:27" x14ac:dyDescent="0.25">
      <c r="A13">
        <f t="shared" si="2"/>
        <v>8</v>
      </c>
      <c r="B13">
        <f t="shared" si="3"/>
        <v>11</v>
      </c>
      <c r="C13" t="str">
        <f t="shared" si="0"/>
        <v>26]</v>
      </c>
      <c r="D13">
        <f t="shared" si="4"/>
        <v>3</v>
      </c>
      <c r="E13" t="str">
        <f t="shared" si="5"/>
        <v>26</v>
      </c>
      <c r="F13" t="str">
        <f t="shared" si="1"/>
        <v>26</v>
      </c>
      <c r="G13">
        <f t="shared" si="6"/>
        <v>6</v>
      </c>
      <c r="H13" t="s">
        <v>261</v>
      </c>
      <c r="I13" t="str">
        <f t="shared" si="7"/>
        <v/>
      </c>
      <c r="J13" t="str">
        <f t="shared" si="8"/>
        <v/>
      </c>
      <c r="K13">
        <f t="shared" si="9"/>
        <v>22</v>
      </c>
      <c r="L13" t="str">
        <f t="shared" si="10"/>
        <v>|1,Books [26]</v>
      </c>
      <c r="N13" t="str">
        <f t="shared" si="11"/>
        <v>Bo</v>
      </c>
      <c r="O13">
        <f t="shared" si="12"/>
        <v>1</v>
      </c>
      <c r="P13" t="str">
        <f t="shared" si="13"/>
        <v>Ar/Bo</v>
      </c>
      <c r="Q13" s="1" t="s">
        <v>2</v>
      </c>
      <c r="R13" s="2" t="str">
        <f t="shared" si="14"/>
        <v>&lt;li&gt;&lt;input type='checkbox'class= 'ckbx' name='26'value='Ar/Bo'&gt; _ _ Books [26]&lt;/li&gt;</v>
      </c>
      <c r="T13" t="str">
        <f t="shared" ref="T13:T76" si="21">IF(AA13=0,"",IF(AA13=1,"&amp;nbsp;&amp;nbsp;",IF(AA13=2,"&amp;nbsp;&amp;nbsp;&amp;nbsp;&amp;nbsp;",IF(AA13=3,"&amp;nbsp;&amp;nbsp;&amp;nbsp;&amp;nbsp;&amp;nbsp;&amp;nbsp;",IF(AA13=4,"&amp;nbsp;&amp;nbsp;&amp;nbsp;&amp;nbsp;&amp;nbsp;&amp;nbsp;&amp;nbsp;&amp;nbsp;",IF(AA13=5,"&amp;nbsp;&amp;nbsp;&amp;nbsp;&amp;nbsp;&amp;nbsp;&amp;nbsp;&amp;nbsp;&amp;nbsp;&amp;nbsp;&amp;nbsp;&amp;nbsp;&amp;nbsp;"))))))</f>
        <v>&amp;nbsp;&amp;nbsp;</v>
      </c>
      <c r="U13" t="str">
        <f t="shared" si="15"/>
        <v xml:space="preserve"> _ _ </v>
      </c>
      <c r="V13" s="1" t="s">
        <v>2</v>
      </c>
      <c r="W13" t="str">
        <f t="shared" si="16"/>
        <v>Books [26]</v>
      </c>
      <c r="X13" t="str">
        <f t="shared" si="17"/>
        <v>Bo</v>
      </c>
      <c r="Y13">
        <f t="shared" si="18"/>
        <v>10</v>
      </c>
      <c r="Z13">
        <f t="shared" si="19"/>
        <v>11</v>
      </c>
      <c r="AA13">
        <f t="shared" si="20"/>
        <v>1</v>
      </c>
    </row>
    <row r="14" spans="1:27" x14ac:dyDescent="0.25">
      <c r="A14">
        <f t="shared" si="2"/>
        <v>14</v>
      </c>
      <c r="B14">
        <f t="shared" si="3"/>
        <v>16</v>
      </c>
      <c r="C14" t="str">
        <f t="shared" si="0"/>
        <v>4]</v>
      </c>
      <c r="D14">
        <f t="shared" si="4"/>
        <v>2</v>
      </c>
      <c r="E14" t="str">
        <f t="shared" si="5"/>
        <v>4</v>
      </c>
      <c r="F14" t="str">
        <f t="shared" si="1"/>
        <v>4</v>
      </c>
      <c r="G14">
        <f t="shared" si="6"/>
        <v>9</v>
      </c>
      <c r="H14" t="s">
        <v>262</v>
      </c>
      <c r="I14" t="str">
        <f t="shared" si="7"/>
        <v/>
      </c>
      <c r="J14" t="str">
        <f t="shared" si="8"/>
        <v/>
      </c>
      <c r="K14">
        <f t="shared" si="9"/>
        <v>20</v>
      </c>
      <c r="L14" t="str">
        <f t="shared" si="10"/>
        <v>|2,Characters [4]</v>
      </c>
      <c r="M14" t="s">
        <v>258</v>
      </c>
      <c r="N14" t="str">
        <f t="shared" si="11"/>
        <v>Ch</v>
      </c>
      <c r="O14">
        <f t="shared" si="12"/>
        <v>2</v>
      </c>
      <c r="P14" t="str">
        <f t="shared" si="13"/>
        <v>Ar/Bo/Ch</v>
      </c>
      <c r="Q14" s="1" t="s">
        <v>3</v>
      </c>
      <c r="R14" s="2" t="str">
        <f t="shared" si="14"/>
        <v>&lt;li&gt;&lt;input type='checkbox'class= 'ckbx' name='4'value='Ar/Bo/Ch'&gt; _ _ _ _Characters [4]&lt;/li&gt;</v>
      </c>
      <c r="T14" t="str">
        <f t="shared" si="21"/>
        <v>&amp;nbsp;&amp;nbsp;&amp;nbsp;&amp;nbsp;</v>
      </c>
      <c r="U14" t="str">
        <f t="shared" si="15"/>
        <v xml:space="preserve"> _ _ _ _</v>
      </c>
      <c r="V14" s="1" t="s">
        <v>3</v>
      </c>
      <c r="W14" t="str">
        <f t="shared" si="16"/>
        <v>Characters [4]</v>
      </c>
      <c r="X14" t="str">
        <f t="shared" si="17"/>
        <v>Ch</v>
      </c>
      <c r="Y14">
        <f t="shared" si="18"/>
        <v>14</v>
      </c>
      <c r="Z14">
        <f t="shared" si="19"/>
        <v>16</v>
      </c>
      <c r="AA14">
        <f t="shared" si="20"/>
        <v>2</v>
      </c>
    </row>
    <row r="15" spans="1:27" x14ac:dyDescent="0.25">
      <c r="A15">
        <f t="shared" si="2"/>
        <v>23</v>
      </c>
      <c r="B15">
        <f t="shared" si="3"/>
        <v>25</v>
      </c>
      <c r="C15" t="str">
        <f t="shared" si="0"/>
        <v>3]</v>
      </c>
      <c r="D15">
        <f t="shared" si="4"/>
        <v>2</v>
      </c>
      <c r="E15" t="str">
        <f t="shared" si="5"/>
        <v>3</v>
      </c>
      <c r="F15" t="str">
        <f t="shared" si="1"/>
        <v>3</v>
      </c>
      <c r="G15">
        <f t="shared" si="6"/>
        <v>6</v>
      </c>
      <c r="H15" t="s">
        <v>263</v>
      </c>
      <c r="I15" t="str">
        <f t="shared" si="7"/>
        <v/>
      </c>
      <c r="J15" t="str">
        <f t="shared" si="8"/>
        <v/>
      </c>
      <c r="K15">
        <f t="shared" si="9"/>
        <v>22</v>
      </c>
      <c r="L15" t="str">
        <f t="shared" si="10"/>
        <v>|1,Childhood Literature [3]</v>
      </c>
      <c r="M15" t="s">
        <v>257</v>
      </c>
      <c r="N15" t="str">
        <f t="shared" si="11"/>
        <v>Ch</v>
      </c>
      <c r="O15">
        <f t="shared" si="12"/>
        <v>1</v>
      </c>
      <c r="P15" t="str">
        <f t="shared" si="13"/>
        <v>Ar/Ch</v>
      </c>
      <c r="Q15" s="1" t="s">
        <v>4</v>
      </c>
      <c r="R15" s="2" t="str">
        <f t="shared" si="14"/>
        <v>&lt;li&gt;&lt;input type='checkbox'class= 'ckbx' name='3'value='Ar/Ch'&gt; _ _ Childhood Literature [3]&lt;/li&gt;</v>
      </c>
      <c r="T15" t="str">
        <f t="shared" si="21"/>
        <v>&amp;nbsp;&amp;nbsp;</v>
      </c>
      <c r="U15" t="str">
        <f t="shared" si="15"/>
        <v xml:space="preserve"> _ _ </v>
      </c>
      <c r="V15" s="1" t="s">
        <v>4</v>
      </c>
      <c r="W15" t="str">
        <f t="shared" si="16"/>
        <v>Childhood Literature [3]</v>
      </c>
      <c r="X15" t="str">
        <f t="shared" si="17"/>
        <v>Ch</v>
      </c>
      <c r="Y15">
        <f t="shared" si="18"/>
        <v>24</v>
      </c>
      <c r="Z15">
        <f t="shared" si="19"/>
        <v>25</v>
      </c>
      <c r="AA15">
        <f t="shared" si="20"/>
        <v>1</v>
      </c>
    </row>
    <row r="16" spans="1:27" x14ac:dyDescent="0.25">
      <c r="A16">
        <f t="shared" si="2"/>
        <v>14</v>
      </c>
      <c r="B16">
        <f t="shared" si="3"/>
        <v>16</v>
      </c>
      <c r="C16" t="str">
        <f t="shared" si="0"/>
        <v>3]</v>
      </c>
      <c r="D16">
        <f t="shared" si="4"/>
        <v>2</v>
      </c>
      <c r="E16" t="str">
        <f t="shared" si="5"/>
        <v>3</v>
      </c>
      <c r="F16" t="str">
        <f t="shared" si="1"/>
        <v>3</v>
      </c>
      <c r="G16">
        <f t="shared" si="6"/>
        <v>6</v>
      </c>
      <c r="H16" t="s">
        <v>264</v>
      </c>
      <c r="I16" t="str">
        <f t="shared" si="7"/>
        <v/>
      </c>
      <c r="J16" t="str">
        <f t="shared" si="8"/>
        <v/>
      </c>
      <c r="K16">
        <f t="shared" si="9"/>
        <v>22</v>
      </c>
      <c r="L16" t="str">
        <f t="shared" si="10"/>
        <v>|1,Comic Books [3]</v>
      </c>
      <c r="N16" t="str">
        <f t="shared" si="11"/>
        <v>Co</v>
      </c>
      <c r="O16">
        <f t="shared" si="12"/>
        <v>1</v>
      </c>
      <c r="P16" t="str">
        <f t="shared" si="13"/>
        <v>Ar/Co</v>
      </c>
      <c r="Q16" s="1" t="s">
        <v>5</v>
      </c>
      <c r="R16" s="2" t="str">
        <f t="shared" si="14"/>
        <v>&lt;li&gt;&lt;input type='checkbox'class= 'ckbx' name='3'value='Ar/Co'&gt; _ _ Comic Books [3]&lt;/li&gt;</v>
      </c>
      <c r="T16" t="str">
        <f t="shared" si="21"/>
        <v>&amp;nbsp;&amp;nbsp;</v>
      </c>
      <c r="U16" t="str">
        <f t="shared" si="15"/>
        <v xml:space="preserve"> _ _ </v>
      </c>
      <c r="V16" s="1" t="s">
        <v>5</v>
      </c>
      <c r="W16" t="str">
        <f t="shared" si="16"/>
        <v>Comic Books [3]</v>
      </c>
      <c r="X16" t="str">
        <f t="shared" si="17"/>
        <v>Co</v>
      </c>
      <c r="Y16">
        <f t="shared" si="18"/>
        <v>15</v>
      </c>
      <c r="Z16">
        <f t="shared" si="19"/>
        <v>16</v>
      </c>
      <c r="AA16">
        <f t="shared" si="20"/>
        <v>1</v>
      </c>
    </row>
    <row r="17" spans="1:28" x14ac:dyDescent="0.25">
      <c r="A17">
        <f t="shared" si="2"/>
        <v>15</v>
      </c>
      <c r="B17">
        <f t="shared" si="3"/>
        <v>17</v>
      </c>
      <c r="C17" t="str">
        <f t="shared" si="0"/>
        <v>6]</v>
      </c>
      <c r="D17">
        <f t="shared" si="4"/>
        <v>2</v>
      </c>
      <c r="E17" t="str">
        <f t="shared" si="5"/>
        <v>6</v>
      </c>
      <c r="F17" t="str">
        <f t="shared" si="1"/>
        <v>6</v>
      </c>
      <c r="G17">
        <f t="shared" si="6"/>
        <v>6</v>
      </c>
      <c r="H17" t="s">
        <v>265</v>
      </c>
      <c r="I17" t="str">
        <f t="shared" si="7"/>
        <v/>
      </c>
      <c r="J17" t="str">
        <f t="shared" si="8"/>
        <v/>
      </c>
      <c r="K17">
        <f t="shared" si="9"/>
        <v>22</v>
      </c>
      <c r="L17" t="str">
        <f t="shared" si="10"/>
        <v>|1,Entertainers [6]</v>
      </c>
      <c r="N17" t="str">
        <f t="shared" si="11"/>
        <v>En</v>
      </c>
      <c r="O17">
        <f t="shared" si="12"/>
        <v>1</v>
      </c>
      <c r="P17" t="str">
        <f t="shared" si="13"/>
        <v>Ar/En</v>
      </c>
      <c r="Q17" s="1" t="s">
        <v>6</v>
      </c>
      <c r="R17" s="2" t="str">
        <f t="shared" si="14"/>
        <v>&lt;li&gt;&lt;input type='checkbox'class= 'ckbx' name='6'value='Ar/En'&gt; _ _ Entertainers [6]&lt;/li&gt;</v>
      </c>
      <c r="T17" t="str">
        <f t="shared" si="21"/>
        <v>&amp;nbsp;&amp;nbsp;</v>
      </c>
      <c r="U17" t="str">
        <f t="shared" si="15"/>
        <v xml:space="preserve"> _ _ </v>
      </c>
      <c r="V17" s="1" t="s">
        <v>6</v>
      </c>
      <c r="W17" t="str">
        <f t="shared" si="16"/>
        <v>Entertainers [6]</v>
      </c>
      <c r="X17" t="str">
        <f t="shared" si="17"/>
        <v>En</v>
      </c>
      <c r="Y17">
        <f t="shared" si="18"/>
        <v>16</v>
      </c>
      <c r="Z17">
        <f t="shared" si="19"/>
        <v>17</v>
      </c>
      <c r="AA17">
        <f t="shared" si="20"/>
        <v>1</v>
      </c>
    </row>
    <row r="18" spans="1:28" x14ac:dyDescent="0.25">
      <c r="A18" s="2">
        <f t="shared" si="2"/>
        <v>11</v>
      </c>
      <c r="B18" s="2">
        <f t="shared" si="3"/>
        <v>13</v>
      </c>
      <c r="C18" s="2" t="str">
        <f t="shared" si="0"/>
        <v>1]</v>
      </c>
      <c r="D18" s="2">
        <f t="shared" si="4"/>
        <v>2</v>
      </c>
      <c r="E18" s="2" t="str">
        <f t="shared" si="5"/>
        <v>1</v>
      </c>
      <c r="F18" s="2" t="str">
        <f t="shared" si="1"/>
        <v>1</v>
      </c>
      <c r="G18">
        <f t="shared" si="6"/>
        <v>9</v>
      </c>
      <c r="H18" t="s">
        <v>266</v>
      </c>
      <c r="I18" t="str">
        <f t="shared" si="7"/>
        <v/>
      </c>
      <c r="J18" t="str">
        <f t="shared" si="8"/>
        <v/>
      </c>
      <c r="K18">
        <f t="shared" si="9"/>
        <v>20</v>
      </c>
      <c r="L18" t="str">
        <f t="shared" si="10"/>
        <v>|2,Singers [1]</v>
      </c>
      <c r="M18" s="2" t="s">
        <v>255</v>
      </c>
      <c r="N18" t="str">
        <f t="shared" si="11"/>
        <v>Si</v>
      </c>
      <c r="O18">
        <f t="shared" si="12"/>
        <v>2</v>
      </c>
      <c r="P18" t="str">
        <f t="shared" si="13"/>
        <v>Ar/En/Si</v>
      </c>
      <c r="Q18" s="3" t="s">
        <v>7</v>
      </c>
      <c r="R18" s="2" t="str">
        <f t="shared" si="14"/>
        <v>&lt;li&gt;&lt;input type='checkbox'class= 'ckbx' name='1'value='Ar/En/Si'&gt; _ _ _ _Singers [1]&lt;/li&gt;</v>
      </c>
      <c r="S18" s="2"/>
      <c r="T18" t="str">
        <f t="shared" si="21"/>
        <v>&amp;nbsp;&amp;nbsp;&amp;nbsp;&amp;nbsp;</v>
      </c>
      <c r="U18" t="str">
        <f t="shared" si="15"/>
        <v xml:space="preserve"> _ _ _ _</v>
      </c>
      <c r="V18" s="3" t="s">
        <v>7</v>
      </c>
      <c r="W18" s="2" t="str">
        <f t="shared" si="16"/>
        <v>Singers [1]</v>
      </c>
      <c r="X18" s="2" t="str">
        <f t="shared" si="17"/>
        <v>Si</v>
      </c>
      <c r="Y18" s="2">
        <f t="shared" si="18"/>
        <v>11</v>
      </c>
      <c r="Z18" s="2">
        <f t="shared" si="19"/>
        <v>13</v>
      </c>
      <c r="AA18" s="2">
        <f t="shared" si="20"/>
        <v>2</v>
      </c>
      <c r="AB18" s="2"/>
    </row>
    <row r="19" spans="1:28" x14ac:dyDescent="0.25">
      <c r="A19">
        <f t="shared" si="2"/>
        <v>22</v>
      </c>
      <c r="B19">
        <f t="shared" si="3"/>
        <v>25</v>
      </c>
      <c r="C19" t="str">
        <f t="shared" si="0"/>
        <v>12]</v>
      </c>
      <c r="D19">
        <f t="shared" si="4"/>
        <v>3</v>
      </c>
      <c r="E19" t="str">
        <f t="shared" si="5"/>
        <v>12</v>
      </c>
      <c r="F19" t="str">
        <f t="shared" si="1"/>
        <v>12</v>
      </c>
      <c r="G19">
        <f t="shared" si="6"/>
        <v>6</v>
      </c>
      <c r="H19" t="s">
        <v>267</v>
      </c>
      <c r="I19" t="str">
        <f t="shared" si="7"/>
        <v/>
      </c>
      <c r="J19" t="str">
        <f t="shared" si="8"/>
        <v/>
      </c>
      <c r="K19">
        <f t="shared" si="9"/>
        <v>22</v>
      </c>
      <c r="L19" t="str">
        <f t="shared" si="10"/>
        <v>|1,Fiction &amp; Mythology [12]</v>
      </c>
      <c r="N19" t="str">
        <f t="shared" si="11"/>
        <v>Fi</v>
      </c>
      <c r="O19">
        <f t="shared" si="12"/>
        <v>1</v>
      </c>
      <c r="P19" t="str">
        <f t="shared" si="13"/>
        <v>Ar/Fi</v>
      </c>
      <c r="Q19" s="1" t="s">
        <v>8</v>
      </c>
      <c r="R19" s="2" t="str">
        <f t="shared" si="14"/>
        <v>&lt;li&gt;&lt;input type='checkbox'class= 'ckbx' name='12'value='Ar/Fi'&gt; _ _ Fiction &amp; Mythology [12]&lt;/li&gt;</v>
      </c>
      <c r="T19" t="str">
        <f t="shared" si="21"/>
        <v>&amp;nbsp;&amp;nbsp;</v>
      </c>
      <c r="U19" t="str">
        <f t="shared" si="15"/>
        <v xml:space="preserve"> _ _ </v>
      </c>
      <c r="V19" s="1" t="s">
        <v>8</v>
      </c>
      <c r="W19" t="str">
        <f t="shared" si="16"/>
        <v>Fiction &amp; Mythology [12]</v>
      </c>
      <c r="X19" t="str">
        <f t="shared" si="17"/>
        <v>Fi</v>
      </c>
      <c r="Y19">
        <f t="shared" si="18"/>
        <v>24</v>
      </c>
      <c r="Z19">
        <f t="shared" si="19"/>
        <v>25</v>
      </c>
      <c r="AA19">
        <f t="shared" si="20"/>
        <v>1</v>
      </c>
    </row>
    <row r="20" spans="1:28" x14ac:dyDescent="0.25">
      <c r="A20" t="e">
        <f t="shared" si="2"/>
        <v>#VALUE!</v>
      </c>
      <c r="B20" t="e">
        <f t="shared" si="3"/>
        <v>#VALUE!</v>
      </c>
      <c r="C20" t="e">
        <f t="shared" si="0"/>
        <v>#VALUE!</v>
      </c>
      <c r="D20" t="e">
        <f t="shared" si="4"/>
        <v>#VALUE!</v>
      </c>
      <c r="E20" t="e">
        <f t="shared" si="5"/>
        <v>#VALUE!</v>
      </c>
      <c r="F20">
        <f t="shared" si="1"/>
        <v>0</v>
      </c>
      <c r="G20">
        <f t="shared" si="6"/>
        <v>6</v>
      </c>
      <c r="H20" t="s">
        <v>268</v>
      </c>
      <c r="I20" t="str">
        <f t="shared" si="7"/>
        <v/>
      </c>
      <c r="J20" t="str">
        <f t="shared" si="8"/>
        <v/>
      </c>
      <c r="K20">
        <f t="shared" si="9"/>
        <v>22</v>
      </c>
      <c r="L20" t="str">
        <f t="shared" si="10"/>
        <v>|1,Games</v>
      </c>
      <c r="N20" t="str">
        <f t="shared" si="11"/>
        <v>Ga</v>
      </c>
      <c r="O20">
        <f t="shared" si="12"/>
        <v>1</v>
      </c>
      <c r="P20" t="str">
        <f t="shared" si="13"/>
        <v>Ar/Ga</v>
      </c>
      <c r="Q20" s="1" t="s">
        <v>9</v>
      </c>
      <c r="R20" s="2" t="str">
        <f t="shared" si="14"/>
        <v>&lt;li&gt;&lt;input type='checkbox'class= 'ckbx' name='0'value='Ar/Ga'&gt; _ _ Games&lt;/li&gt;</v>
      </c>
      <c r="T20" t="str">
        <f t="shared" si="21"/>
        <v>&amp;nbsp;&amp;nbsp;</v>
      </c>
      <c r="U20" t="str">
        <f t="shared" si="15"/>
        <v xml:space="preserve"> _ _ </v>
      </c>
      <c r="V20" s="1" t="s">
        <v>9</v>
      </c>
      <c r="W20" t="str">
        <f t="shared" si="16"/>
        <v>Games</v>
      </c>
      <c r="X20" t="str">
        <f t="shared" si="17"/>
        <v>Ga</v>
      </c>
      <c r="Y20">
        <f t="shared" si="18"/>
        <v>5</v>
      </c>
      <c r="Z20">
        <f t="shared" si="19"/>
        <v>6</v>
      </c>
      <c r="AA20">
        <f t="shared" si="20"/>
        <v>1</v>
      </c>
    </row>
    <row r="21" spans="1:28" x14ac:dyDescent="0.25">
      <c r="A21">
        <f t="shared" si="2"/>
        <v>8</v>
      </c>
      <c r="B21">
        <f t="shared" si="3"/>
        <v>11</v>
      </c>
      <c r="C21" t="str">
        <f t="shared" si="0"/>
        <v>81]</v>
      </c>
      <c r="D21">
        <f t="shared" si="4"/>
        <v>3</v>
      </c>
      <c r="E21" t="str">
        <f t="shared" si="5"/>
        <v>81</v>
      </c>
      <c r="F21" t="str">
        <f t="shared" si="1"/>
        <v>81</v>
      </c>
      <c r="G21">
        <f t="shared" si="6"/>
        <v>9</v>
      </c>
      <c r="H21" t="s">
        <v>269</v>
      </c>
      <c r="I21" t="str">
        <f t="shared" si="7"/>
        <v/>
      </c>
      <c r="J21" t="str">
        <f t="shared" si="8"/>
        <v/>
      </c>
      <c r="K21">
        <f t="shared" si="9"/>
        <v>20</v>
      </c>
      <c r="L21" t="str">
        <f t="shared" si="10"/>
        <v>|2,Card [81]</v>
      </c>
      <c r="M21" t="s">
        <v>256</v>
      </c>
      <c r="N21" t="str">
        <f t="shared" si="11"/>
        <v>Ca</v>
      </c>
      <c r="O21">
        <f t="shared" si="12"/>
        <v>2</v>
      </c>
      <c r="P21" t="str">
        <f t="shared" si="13"/>
        <v>Ar/Ga/Ca</v>
      </c>
      <c r="Q21" s="1" t="s">
        <v>10</v>
      </c>
      <c r="R21" s="2" t="str">
        <f t="shared" si="14"/>
        <v>&lt;li&gt;&lt;input type='checkbox'class= 'ckbx' name='81'value='Ar/Ga/Ca'&gt; _ _ _ _Card [81]&lt;/li&gt;</v>
      </c>
      <c r="T21" t="str">
        <f t="shared" si="21"/>
        <v>&amp;nbsp;&amp;nbsp;&amp;nbsp;&amp;nbsp;</v>
      </c>
      <c r="U21" t="str">
        <f t="shared" si="15"/>
        <v xml:space="preserve"> _ _ _ _</v>
      </c>
      <c r="V21" s="1" t="s">
        <v>10</v>
      </c>
      <c r="W21" t="str">
        <f t="shared" si="16"/>
        <v>Card [81]</v>
      </c>
      <c r="X21" t="str">
        <f t="shared" si="17"/>
        <v>Ca</v>
      </c>
      <c r="Y21">
        <f t="shared" si="18"/>
        <v>9</v>
      </c>
      <c r="Z21">
        <f t="shared" si="19"/>
        <v>11</v>
      </c>
      <c r="AA21">
        <f t="shared" si="20"/>
        <v>2</v>
      </c>
    </row>
    <row r="22" spans="1:28" x14ac:dyDescent="0.25">
      <c r="A22">
        <f t="shared" si="2"/>
        <v>10</v>
      </c>
      <c r="B22">
        <f t="shared" si="3"/>
        <v>13</v>
      </c>
      <c r="C22" t="str">
        <f t="shared" si="0"/>
        <v>12]</v>
      </c>
      <c r="D22">
        <f t="shared" si="4"/>
        <v>3</v>
      </c>
      <c r="E22" t="str">
        <f t="shared" si="5"/>
        <v>12</v>
      </c>
      <c r="F22" t="str">
        <f t="shared" si="1"/>
        <v>12</v>
      </c>
      <c r="G22">
        <f t="shared" si="6"/>
        <v>9</v>
      </c>
      <c r="H22" t="s">
        <v>270</v>
      </c>
      <c r="I22" t="str">
        <f t="shared" si="7"/>
        <v/>
      </c>
      <c r="J22" t="str">
        <f t="shared" si="8"/>
        <v/>
      </c>
      <c r="K22">
        <f t="shared" si="9"/>
        <v>20</v>
      </c>
      <c r="L22" t="str">
        <f t="shared" si="10"/>
        <v>|2,Trivia [12]</v>
      </c>
      <c r="N22" t="str">
        <f t="shared" si="11"/>
        <v>Tr</v>
      </c>
      <c r="O22">
        <f t="shared" si="12"/>
        <v>2</v>
      </c>
      <c r="P22" t="str">
        <f t="shared" si="13"/>
        <v>Ar/Ga/Tr</v>
      </c>
      <c r="Q22" s="1" t="s">
        <v>11</v>
      </c>
      <c r="R22" s="2" t="str">
        <f t="shared" si="14"/>
        <v>&lt;li&gt;&lt;input type='checkbox'class= 'ckbx' name='12'value='Ar/Ga/Tr'&gt; _ _ _ _Trivia [12]&lt;/li&gt;</v>
      </c>
      <c r="T22" t="str">
        <f t="shared" si="21"/>
        <v>&amp;nbsp;&amp;nbsp;&amp;nbsp;&amp;nbsp;</v>
      </c>
      <c r="U22" t="str">
        <f t="shared" si="15"/>
        <v xml:space="preserve"> _ _ _ _</v>
      </c>
      <c r="V22" s="1" t="s">
        <v>11</v>
      </c>
      <c r="W22" t="str">
        <f t="shared" si="16"/>
        <v>Trivia [12]</v>
      </c>
      <c r="X22" t="str">
        <f t="shared" si="17"/>
        <v>Tr</v>
      </c>
      <c r="Y22">
        <f t="shared" si="18"/>
        <v>11</v>
      </c>
      <c r="Z22">
        <f t="shared" si="19"/>
        <v>13</v>
      </c>
      <c r="AA22">
        <f t="shared" si="20"/>
        <v>2</v>
      </c>
    </row>
    <row r="23" spans="1:28" x14ac:dyDescent="0.25">
      <c r="A23">
        <f t="shared" si="2"/>
        <v>23</v>
      </c>
      <c r="B23">
        <f t="shared" si="3"/>
        <v>25</v>
      </c>
      <c r="C23" t="str">
        <f t="shared" si="0"/>
        <v>5]</v>
      </c>
      <c r="D23">
        <f t="shared" si="4"/>
        <v>2</v>
      </c>
      <c r="E23" t="str">
        <f t="shared" si="5"/>
        <v>5</v>
      </c>
      <c r="F23" t="str">
        <f t="shared" si="1"/>
        <v>5</v>
      </c>
      <c r="G23">
        <f t="shared" si="6"/>
        <v>6</v>
      </c>
      <c r="H23" t="s">
        <v>271</v>
      </c>
      <c r="I23" t="str">
        <f t="shared" si="7"/>
        <v/>
      </c>
      <c r="J23" t="str">
        <f t="shared" si="8"/>
        <v/>
      </c>
      <c r="K23">
        <f t="shared" si="9"/>
        <v>22</v>
      </c>
      <c r="L23" t="str">
        <f t="shared" si="10"/>
        <v>|1,Literature &amp; Authors [5]</v>
      </c>
      <c r="N23" t="str">
        <f t="shared" si="11"/>
        <v>Li</v>
      </c>
      <c r="O23">
        <f t="shared" si="12"/>
        <v>1</v>
      </c>
      <c r="P23" t="str">
        <f t="shared" si="13"/>
        <v>Ar/Li</v>
      </c>
      <c r="Q23" s="1" t="str">
        <f>W23</f>
        <v>Literature &amp; Authors [5]</v>
      </c>
      <c r="R23" s="2" t="str">
        <f t="shared" si="14"/>
        <v>&lt;li&gt;&lt;input type='checkbox'class= 'ckbx' name='5'value='Ar/Li'&gt; _ _ Literature &amp; Authors [5]&lt;/li&gt;</v>
      </c>
      <c r="T23" t="str">
        <f t="shared" si="21"/>
        <v>&amp;nbsp;&amp;nbsp;</v>
      </c>
      <c r="U23" t="str">
        <f t="shared" si="15"/>
        <v xml:space="preserve"> _ _ </v>
      </c>
      <c r="V23" s="1" t="s">
        <v>12</v>
      </c>
      <c r="W23" t="str">
        <f t="shared" si="16"/>
        <v>Literature &amp; Authors [5]</v>
      </c>
      <c r="X23" t="str">
        <f t="shared" si="17"/>
        <v>Li</v>
      </c>
      <c r="Y23">
        <f t="shared" si="18"/>
        <v>24</v>
      </c>
      <c r="Z23">
        <f t="shared" si="19"/>
        <v>25</v>
      </c>
      <c r="AA23">
        <f t="shared" si="20"/>
        <v>1</v>
      </c>
    </row>
    <row r="24" spans="1:28" x14ac:dyDescent="0.25">
      <c r="A24">
        <f t="shared" si="2"/>
        <v>15</v>
      </c>
      <c r="B24">
        <f t="shared" si="3"/>
        <v>17</v>
      </c>
      <c r="C24" t="str">
        <f t="shared" si="0"/>
        <v>2]</v>
      </c>
      <c r="D24">
        <f t="shared" si="4"/>
        <v>2</v>
      </c>
      <c r="E24" t="str">
        <f t="shared" si="5"/>
        <v>2</v>
      </c>
      <c r="F24" t="str">
        <f t="shared" si="1"/>
        <v>2</v>
      </c>
      <c r="G24">
        <f>FIND(",",H24)</f>
        <v>9</v>
      </c>
      <c r="H24" t="s">
        <v>272</v>
      </c>
      <c r="I24" t="str">
        <f t="shared" si="7"/>
        <v/>
      </c>
      <c r="J24" t="str">
        <f t="shared" si="8"/>
        <v/>
      </c>
      <c r="K24">
        <f t="shared" si="9"/>
        <v>20</v>
      </c>
      <c r="L24" t="str">
        <f t="shared" ref="L24:L87" si="22">"|"&amp;O24&amp;","&amp;W24</f>
        <v>|2,Shakespeare [2]</v>
      </c>
      <c r="N24" t="str">
        <f>MID(W24,1,2)</f>
        <v>Sh</v>
      </c>
      <c r="O24">
        <f>Z24-Y24</f>
        <v>2</v>
      </c>
      <c r="P24" t="str">
        <f t="shared" ref="P24:P87" si="23">MID(H24,1,G24-1)</f>
        <v>Ar/Li/Sh</v>
      </c>
      <c r="Q24" s="1" t="str">
        <f t="shared" ref="Q24:Q87" si="24">W24</f>
        <v>Shakespeare [2]</v>
      </c>
      <c r="R24" s="2" t="str">
        <f t="shared" si="14"/>
        <v>&lt;li&gt;&lt;input type='checkbox'class= 'ckbx' name='2'value='Ar/Li/Sh'&gt; _ _ _ _Shakespeare [2]&lt;/li&gt;</v>
      </c>
      <c r="T24" t="str">
        <f t="shared" si="21"/>
        <v>&amp;nbsp;&amp;nbsp;&amp;nbsp;&amp;nbsp;</v>
      </c>
      <c r="U24" t="str">
        <f t="shared" si="15"/>
        <v xml:space="preserve"> _ _ _ _</v>
      </c>
      <c r="V24" s="1" t="s">
        <v>13</v>
      </c>
      <c r="W24" t="str">
        <f t="shared" si="16"/>
        <v>Shakespeare [2]</v>
      </c>
      <c r="X24" t="str">
        <f t="shared" si="17"/>
        <v>Sh</v>
      </c>
      <c r="Y24">
        <f t="shared" si="18"/>
        <v>15</v>
      </c>
      <c r="Z24">
        <f t="shared" si="19"/>
        <v>17</v>
      </c>
      <c r="AA24">
        <f t="shared" si="20"/>
        <v>2</v>
      </c>
    </row>
    <row r="25" spans="1:28" x14ac:dyDescent="0.25">
      <c r="A25">
        <f t="shared" ref="A25:A88" si="25">FIND("[",V25)</f>
        <v>9</v>
      </c>
      <c r="B25">
        <f t="shared" ref="B25:B88" si="26">FIND("]",V25)</f>
        <v>12</v>
      </c>
      <c r="C25" t="str">
        <f t="shared" ref="C25:C88" si="27">MID(V25,A25+1,9)</f>
        <v>12]</v>
      </c>
      <c r="D25">
        <f t="shared" si="4"/>
        <v>3</v>
      </c>
      <c r="E25" t="str">
        <f t="shared" ref="E25:E88" si="28">MID(C25,1,D25-1)</f>
        <v>12</v>
      </c>
      <c r="F25" t="str">
        <f t="shared" ref="F25:F88" si="29">IF(ISERROR(D25),0,E25)</f>
        <v>12</v>
      </c>
      <c r="G25">
        <f t="shared" ref="G25:G88" si="30">FIND(",",H25)</f>
        <v>6</v>
      </c>
      <c r="H25" t="s">
        <v>296</v>
      </c>
      <c r="I25" t="str">
        <f t="shared" si="7"/>
        <v/>
      </c>
      <c r="J25" t="str">
        <f t="shared" si="8"/>
        <v/>
      </c>
      <c r="K25">
        <f t="shared" si="9"/>
        <v>22</v>
      </c>
      <c r="L25" t="str">
        <f t="shared" si="22"/>
        <v>|1,Movies [12]</v>
      </c>
      <c r="N25" t="str">
        <f t="shared" ref="N25:N88" si="31">MID(W25,1,2)</f>
        <v>Mo</v>
      </c>
      <c r="O25">
        <f t="shared" ref="O25:O88" si="32">Z25-Y25</f>
        <v>1</v>
      </c>
      <c r="P25" t="str">
        <f t="shared" si="23"/>
        <v>Ar/Mo</v>
      </c>
      <c r="Q25" s="1" t="str">
        <f t="shared" si="24"/>
        <v>Movies [12]</v>
      </c>
      <c r="R25" s="2" t="str">
        <f t="shared" si="14"/>
        <v>&lt;li&gt;&lt;input type='checkbox'class= 'ckbx' name='12'value='Ar/Mo'&gt; _ _ Movies [12]&lt;/li&gt;</v>
      </c>
      <c r="T25" t="str">
        <f t="shared" si="21"/>
        <v>&amp;nbsp;&amp;nbsp;</v>
      </c>
      <c r="U25" t="str">
        <f t="shared" si="15"/>
        <v xml:space="preserve"> _ _ </v>
      </c>
      <c r="V25" s="1" t="s">
        <v>14</v>
      </c>
      <c r="W25" t="str">
        <f t="shared" si="16"/>
        <v>Movies [12]</v>
      </c>
      <c r="X25" t="str">
        <f t="shared" si="17"/>
        <v>Mo</v>
      </c>
      <c r="Y25">
        <f t="shared" si="18"/>
        <v>11</v>
      </c>
      <c r="Z25">
        <f t="shared" si="19"/>
        <v>12</v>
      </c>
      <c r="AA25">
        <f t="shared" si="20"/>
        <v>1</v>
      </c>
    </row>
    <row r="26" spans="1:28" x14ac:dyDescent="0.25">
      <c r="A26">
        <f t="shared" si="25"/>
        <v>18</v>
      </c>
      <c r="B26">
        <f t="shared" si="26"/>
        <v>22</v>
      </c>
      <c r="C26" t="str">
        <f t="shared" si="27"/>
        <v>572]</v>
      </c>
      <c r="D26">
        <f t="shared" si="4"/>
        <v>4</v>
      </c>
      <c r="E26" t="str">
        <f t="shared" si="28"/>
        <v>572</v>
      </c>
      <c r="F26" t="str">
        <f t="shared" si="29"/>
        <v>572</v>
      </c>
      <c r="G26">
        <f t="shared" si="30"/>
        <v>9</v>
      </c>
      <c r="H26" t="s">
        <v>297</v>
      </c>
      <c r="I26" t="str">
        <f t="shared" si="7"/>
        <v/>
      </c>
      <c r="J26" t="str">
        <f t="shared" si="8"/>
        <v/>
      </c>
      <c r="K26">
        <f t="shared" si="9"/>
        <v>20</v>
      </c>
      <c r="L26" t="str">
        <f t="shared" si="22"/>
        <v>|2,Academy Awards [572]</v>
      </c>
      <c r="N26" t="str">
        <f t="shared" si="31"/>
        <v>Ac</v>
      </c>
      <c r="O26">
        <f t="shared" si="32"/>
        <v>2</v>
      </c>
      <c r="P26" t="str">
        <f t="shared" si="23"/>
        <v>Ar/Mo/Ac</v>
      </c>
      <c r="Q26" s="1" t="str">
        <f t="shared" si="24"/>
        <v>Academy Awards [572]</v>
      </c>
      <c r="R26" s="2" t="str">
        <f t="shared" si="14"/>
        <v>&lt;li&gt;&lt;input type='checkbox'class= 'ckbx' name='572'value='Ar/Mo/Ac'&gt; _ _ _ _Academy Awards [572]&lt;/li&gt;</v>
      </c>
      <c r="T26" t="str">
        <f t="shared" si="21"/>
        <v>&amp;nbsp;&amp;nbsp;&amp;nbsp;&amp;nbsp;</v>
      </c>
      <c r="U26" t="str">
        <f t="shared" si="15"/>
        <v xml:space="preserve"> _ _ _ _</v>
      </c>
      <c r="V26" s="1" t="s">
        <v>15</v>
      </c>
      <c r="W26" t="str">
        <f t="shared" si="16"/>
        <v>Academy Awards [572]</v>
      </c>
      <c r="X26" t="str">
        <f t="shared" si="17"/>
        <v>Ac</v>
      </c>
      <c r="Y26">
        <f t="shared" si="18"/>
        <v>20</v>
      </c>
      <c r="Z26">
        <f t="shared" si="19"/>
        <v>22</v>
      </c>
      <c r="AA26">
        <f t="shared" si="20"/>
        <v>2</v>
      </c>
    </row>
    <row r="27" spans="1:28" x14ac:dyDescent="0.25">
      <c r="A27">
        <f t="shared" si="25"/>
        <v>15</v>
      </c>
      <c r="B27">
        <f t="shared" si="26"/>
        <v>19</v>
      </c>
      <c r="C27" t="str">
        <f t="shared" si="27"/>
        <v>182]</v>
      </c>
      <c r="D27">
        <f t="shared" si="4"/>
        <v>4</v>
      </c>
      <c r="E27" t="str">
        <f t="shared" si="28"/>
        <v>182</v>
      </c>
      <c r="F27" t="str">
        <f t="shared" si="29"/>
        <v>182</v>
      </c>
      <c r="G27">
        <f t="shared" si="30"/>
        <v>6</v>
      </c>
      <c r="H27" t="s">
        <v>298</v>
      </c>
      <c r="I27" t="str">
        <f t="shared" si="7"/>
        <v/>
      </c>
      <c r="J27" t="str">
        <f t="shared" si="8"/>
        <v/>
      </c>
      <c r="K27">
        <f t="shared" si="9"/>
        <v>22</v>
      </c>
      <c r="L27" t="str">
        <f t="shared" si="22"/>
        <v>|1,Music &amp; Song [182]</v>
      </c>
      <c r="N27" t="str">
        <f t="shared" si="31"/>
        <v>Mu</v>
      </c>
      <c r="O27">
        <f t="shared" si="32"/>
        <v>1</v>
      </c>
      <c r="P27" t="str">
        <f t="shared" si="23"/>
        <v>Ar/Mu</v>
      </c>
      <c r="Q27" s="1" t="str">
        <f t="shared" si="24"/>
        <v>Music &amp; Song [182]</v>
      </c>
      <c r="R27" s="2" t="str">
        <f t="shared" si="14"/>
        <v>&lt;li&gt;&lt;input type='checkbox'class= 'ckbx' name='182'value='Ar/Mu'&gt; _ _ Music &amp; Song [182]&lt;/li&gt;</v>
      </c>
      <c r="T27" t="str">
        <f t="shared" si="21"/>
        <v>&amp;nbsp;&amp;nbsp;</v>
      </c>
      <c r="U27" t="str">
        <f t="shared" si="15"/>
        <v xml:space="preserve"> _ _ </v>
      </c>
      <c r="V27" s="1" t="s">
        <v>16</v>
      </c>
      <c r="W27" t="str">
        <f t="shared" si="16"/>
        <v>Music &amp; Song [182]</v>
      </c>
      <c r="X27" t="str">
        <f t="shared" si="17"/>
        <v>Mu</v>
      </c>
      <c r="Y27">
        <f t="shared" si="18"/>
        <v>18</v>
      </c>
      <c r="Z27">
        <f t="shared" si="19"/>
        <v>19</v>
      </c>
      <c r="AA27">
        <f t="shared" si="20"/>
        <v>1</v>
      </c>
    </row>
    <row r="28" spans="1:28" x14ac:dyDescent="0.25">
      <c r="A28">
        <f t="shared" si="25"/>
        <v>10</v>
      </c>
      <c r="B28">
        <f t="shared" si="26"/>
        <v>12</v>
      </c>
      <c r="C28" t="str">
        <f t="shared" si="27"/>
        <v>1]</v>
      </c>
      <c r="D28">
        <f t="shared" si="4"/>
        <v>2</v>
      </c>
      <c r="E28" t="str">
        <f t="shared" si="28"/>
        <v>1</v>
      </c>
      <c r="F28" t="str">
        <f t="shared" si="29"/>
        <v>1</v>
      </c>
      <c r="G28">
        <f t="shared" si="30"/>
        <v>9</v>
      </c>
      <c r="H28" t="s">
        <v>299</v>
      </c>
      <c r="I28" t="str">
        <f t="shared" si="7"/>
        <v/>
      </c>
      <c r="J28" t="str">
        <f t="shared" si="8"/>
        <v/>
      </c>
      <c r="K28">
        <f t="shared" si="9"/>
        <v>20</v>
      </c>
      <c r="L28" t="str">
        <f t="shared" si="22"/>
        <v>|2,Ballet [1]</v>
      </c>
      <c r="N28" t="str">
        <f t="shared" si="31"/>
        <v>Ba</v>
      </c>
      <c r="O28">
        <f t="shared" si="32"/>
        <v>2</v>
      </c>
      <c r="P28" t="str">
        <f t="shared" si="23"/>
        <v>Ar/Mu/Ba</v>
      </c>
      <c r="Q28" s="1" t="str">
        <f t="shared" si="24"/>
        <v>Ballet [1]</v>
      </c>
      <c r="R28" s="2" t="str">
        <f t="shared" si="14"/>
        <v>&lt;li&gt;&lt;input type='checkbox'class= 'ckbx' name='1'value='Ar/Mu/Ba'&gt; _ _ _ _Ballet [1]&lt;/li&gt;</v>
      </c>
      <c r="T28" t="str">
        <f t="shared" si="21"/>
        <v>&amp;nbsp;&amp;nbsp;&amp;nbsp;&amp;nbsp;</v>
      </c>
      <c r="U28" t="str">
        <f t="shared" si="15"/>
        <v xml:space="preserve"> _ _ _ _</v>
      </c>
      <c r="V28" s="1" t="s">
        <v>17</v>
      </c>
      <c r="W28" t="str">
        <f t="shared" si="16"/>
        <v>Ballet [1]</v>
      </c>
      <c r="X28" t="str">
        <f t="shared" si="17"/>
        <v>Ba</v>
      </c>
      <c r="Y28">
        <f t="shared" si="18"/>
        <v>10</v>
      </c>
      <c r="Z28">
        <f t="shared" si="19"/>
        <v>12</v>
      </c>
      <c r="AA28">
        <f t="shared" si="20"/>
        <v>2</v>
      </c>
    </row>
    <row r="29" spans="1:28" x14ac:dyDescent="0.25">
      <c r="A29">
        <f t="shared" si="25"/>
        <v>19</v>
      </c>
      <c r="B29">
        <f t="shared" si="26"/>
        <v>24</v>
      </c>
      <c r="C29" t="str">
        <f t="shared" si="27"/>
        <v>5613]</v>
      </c>
      <c r="D29">
        <f t="shared" si="4"/>
        <v>5</v>
      </c>
      <c r="E29" t="str">
        <f t="shared" si="28"/>
        <v>5613</v>
      </c>
      <c r="F29" t="str">
        <f t="shared" si="29"/>
        <v>5613</v>
      </c>
      <c r="G29">
        <f t="shared" si="30"/>
        <v>9</v>
      </c>
      <c r="H29" t="s">
        <v>300</v>
      </c>
      <c r="I29" t="str">
        <f t="shared" si="7"/>
        <v/>
      </c>
      <c r="J29" t="str">
        <f t="shared" si="8"/>
        <v/>
      </c>
      <c r="K29">
        <f t="shared" si="9"/>
        <v>20</v>
      </c>
      <c r="L29" t="str">
        <f t="shared" si="22"/>
        <v>|2,Classical Music [5613]</v>
      </c>
      <c r="N29" t="str">
        <f t="shared" si="31"/>
        <v>Cl</v>
      </c>
      <c r="O29">
        <f t="shared" si="32"/>
        <v>2</v>
      </c>
      <c r="P29" t="str">
        <f t="shared" si="23"/>
        <v>Ar/Mu/Cl</v>
      </c>
      <c r="Q29" s="1" t="str">
        <f t="shared" si="24"/>
        <v>Classical Music [5613]</v>
      </c>
      <c r="R29" s="2" t="str">
        <f t="shared" si="14"/>
        <v>&lt;li&gt;&lt;input type='checkbox'class= 'ckbx' name='5613'value='Ar/Mu/Cl'&gt; _ _ _ _Classical Music [5613]&lt;/li&gt;</v>
      </c>
      <c r="T29" t="str">
        <f t="shared" si="21"/>
        <v>&amp;nbsp;&amp;nbsp;&amp;nbsp;&amp;nbsp;</v>
      </c>
      <c r="U29" t="str">
        <f t="shared" si="15"/>
        <v xml:space="preserve"> _ _ _ _</v>
      </c>
      <c r="V29" s="1" t="s">
        <v>18</v>
      </c>
      <c r="W29" t="str">
        <f t="shared" si="16"/>
        <v>Classical Music [5613]</v>
      </c>
      <c r="X29" t="str">
        <f t="shared" si="17"/>
        <v>Cl</v>
      </c>
      <c r="Y29">
        <f t="shared" si="18"/>
        <v>22</v>
      </c>
      <c r="Z29">
        <f t="shared" si="19"/>
        <v>24</v>
      </c>
      <c r="AA29">
        <f t="shared" si="20"/>
        <v>2</v>
      </c>
    </row>
    <row r="30" spans="1:28" x14ac:dyDescent="0.25">
      <c r="A30">
        <f t="shared" si="25"/>
        <v>26</v>
      </c>
      <c r="B30">
        <f t="shared" si="26"/>
        <v>31</v>
      </c>
      <c r="C30" t="str">
        <f t="shared" si="27"/>
        <v>1429]</v>
      </c>
      <c r="D30">
        <f t="shared" si="4"/>
        <v>5</v>
      </c>
      <c r="E30" t="str">
        <f t="shared" si="28"/>
        <v>1429</v>
      </c>
      <c r="F30" t="str">
        <f t="shared" si="29"/>
        <v>1429</v>
      </c>
      <c r="G30">
        <f t="shared" si="30"/>
        <v>9</v>
      </c>
      <c r="H30" t="s">
        <v>301</v>
      </c>
      <c r="I30" t="str">
        <f t="shared" si="7"/>
        <v/>
      </c>
      <c r="J30" t="str">
        <f t="shared" si="8"/>
        <v/>
      </c>
      <c r="K30">
        <f t="shared" si="9"/>
        <v>20</v>
      </c>
      <c r="L30" t="str">
        <f t="shared" si="22"/>
        <v>|2,Military and patriotic [1429]</v>
      </c>
      <c r="N30" t="str">
        <f t="shared" si="31"/>
        <v>Mi</v>
      </c>
      <c r="O30">
        <f t="shared" si="32"/>
        <v>2</v>
      </c>
      <c r="P30" t="str">
        <f t="shared" si="23"/>
        <v>Ar/Mu/Mi</v>
      </c>
      <c r="Q30" s="1" t="str">
        <f t="shared" si="24"/>
        <v>Military and patriotic [1429]</v>
      </c>
      <c r="R30" s="2" t="str">
        <f t="shared" si="14"/>
        <v>&lt;li&gt;&lt;input type='checkbox'class= 'ckbx' name='1429'value='Ar/Mu/Mi'&gt; _ _ _ _Military and patriotic [1429]&lt;/li&gt;</v>
      </c>
      <c r="T30" t="str">
        <f t="shared" si="21"/>
        <v>&amp;nbsp;&amp;nbsp;&amp;nbsp;&amp;nbsp;</v>
      </c>
      <c r="U30" t="str">
        <f t="shared" si="15"/>
        <v xml:space="preserve"> _ _ _ _</v>
      </c>
      <c r="V30" s="1" t="s">
        <v>19</v>
      </c>
      <c r="W30" t="str">
        <f t="shared" si="16"/>
        <v>Military and patriotic [1429]</v>
      </c>
      <c r="X30" t="str">
        <f t="shared" si="17"/>
        <v>Mi</v>
      </c>
      <c r="Y30">
        <f t="shared" si="18"/>
        <v>29</v>
      </c>
      <c r="Z30">
        <f t="shared" si="19"/>
        <v>31</v>
      </c>
      <c r="AA30">
        <f t="shared" si="20"/>
        <v>2</v>
      </c>
    </row>
    <row r="31" spans="1:28" x14ac:dyDescent="0.25">
      <c r="A31">
        <f t="shared" si="25"/>
        <v>11</v>
      </c>
      <c r="B31">
        <f t="shared" si="26"/>
        <v>15</v>
      </c>
      <c r="C31" t="str">
        <f t="shared" si="27"/>
        <v>162]</v>
      </c>
      <c r="D31">
        <f t="shared" si="4"/>
        <v>4</v>
      </c>
      <c r="E31" t="str">
        <f t="shared" si="28"/>
        <v>162</v>
      </c>
      <c r="F31" t="str">
        <f t="shared" si="29"/>
        <v>162</v>
      </c>
      <c r="G31">
        <f t="shared" si="30"/>
        <v>9</v>
      </c>
      <c r="H31" t="s">
        <v>302</v>
      </c>
      <c r="I31" t="str">
        <f t="shared" si="7"/>
        <v/>
      </c>
      <c r="J31" t="str">
        <f t="shared" si="8"/>
        <v/>
      </c>
      <c r="K31">
        <f t="shared" si="9"/>
        <v>20</v>
      </c>
      <c r="L31" t="str">
        <f t="shared" si="22"/>
        <v>|2,Popular [162]</v>
      </c>
      <c r="N31" t="str">
        <f t="shared" si="31"/>
        <v>Po</v>
      </c>
      <c r="O31">
        <f t="shared" si="32"/>
        <v>2</v>
      </c>
      <c r="P31" t="str">
        <f t="shared" si="23"/>
        <v>Ar/Mu/Po</v>
      </c>
      <c r="Q31" s="1" t="str">
        <f t="shared" si="24"/>
        <v>Popular [162]</v>
      </c>
      <c r="R31" s="2" t="str">
        <f t="shared" si="14"/>
        <v>&lt;li&gt;&lt;input type='checkbox'class= 'ckbx' name='162'value='Ar/Mu/Po'&gt; _ _ _ _Popular [162]&lt;/li&gt;</v>
      </c>
      <c r="T31" t="str">
        <f t="shared" si="21"/>
        <v>&amp;nbsp;&amp;nbsp;&amp;nbsp;&amp;nbsp;</v>
      </c>
      <c r="U31" t="str">
        <f t="shared" si="15"/>
        <v xml:space="preserve"> _ _ _ _</v>
      </c>
      <c r="V31" s="1" t="s">
        <v>20</v>
      </c>
      <c r="W31" t="str">
        <f t="shared" si="16"/>
        <v>Popular [162]</v>
      </c>
      <c r="X31" t="str">
        <f t="shared" si="17"/>
        <v>Po</v>
      </c>
      <c r="Y31">
        <f t="shared" si="18"/>
        <v>13</v>
      </c>
      <c r="Z31">
        <f t="shared" si="19"/>
        <v>15</v>
      </c>
      <c r="AA31">
        <f t="shared" si="20"/>
        <v>2</v>
      </c>
    </row>
    <row r="32" spans="1:28" x14ac:dyDescent="0.25">
      <c r="A32">
        <f t="shared" si="25"/>
        <v>8</v>
      </c>
      <c r="B32">
        <f t="shared" si="26"/>
        <v>12</v>
      </c>
      <c r="C32" t="str">
        <f t="shared" si="27"/>
        <v>133]</v>
      </c>
      <c r="D32">
        <f t="shared" si="4"/>
        <v>4</v>
      </c>
      <c r="E32" t="str">
        <f t="shared" si="28"/>
        <v>133</v>
      </c>
      <c r="F32" t="str">
        <f t="shared" si="29"/>
        <v>133</v>
      </c>
      <c r="G32">
        <f t="shared" si="30"/>
        <v>6</v>
      </c>
      <c r="H32" t="s">
        <v>303</v>
      </c>
      <c r="I32" t="str">
        <f t="shared" si="7"/>
        <v/>
      </c>
      <c r="J32" t="str">
        <f t="shared" si="8"/>
        <v/>
      </c>
      <c r="K32">
        <f t="shared" si="9"/>
        <v>22</v>
      </c>
      <c r="L32" t="str">
        <f t="shared" si="22"/>
        <v>|1,Poems [133]</v>
      </c>
      <c r="N32" t="str">
        <f t="shared" si="31"/>
        <v>Po</v>
      </c>
      <c r="O32">
        <f t="shared" si="32"/>
        <v>1</v>
      </c>
      <c r="P32" t="str">
        <f t="shared" si="23"/>
        <v>Ar/Po</v>
      </c>
      <c r="Q32" s="1" t="str">
        <f t="shared" si="24"/>
        <v>Poems [133]</v>
      </c>
      <c r="R32" s="2" t="str">
        <f t="shared" si="14"/>
        <v>&lt;li&gt;&lt;input type='checkbox'class= 'ckbx' name='133'value='Ar/Po'&gt; _ _ Poems [133]&lt;/li&gt;</v>
      </c>
      <c r="T32" t="str">
        <f t="shared" si="21"/>
        <v>&amp;nbsp;&amp;nbsp;</v>
      </c>
      <c r="U32" t="str">
        <f t="shared" si="15"/>
        <v xml:space="preserve"> _ _ </v>
      </c>
      <c r="V32" s="1" t="s">
        <v>21</v>
      </c>
      <c r="W32" t="str">
        <f t="shared" si="16"/>
        <v>Poems [133]</v>
      </c>
      <c r="X32" t="str">
        <f t="shared" si="17"/>
        <v>Po</v>
      </c>
      <c r="Y32">
        <f t="shared" si="18"/>
        <v>11</v>
      </c>
      <c r="Z32">
        <f t="shared" si="19"/>
        <v>12</v>
      </c>
      <c r="AA32">
        <f t="shared" si="20"/>
        <v>1</v>
      </c>
    </row>
    <row r="33" spans="1:27" x14ac:dyDescent="0.25">
      <c r="A33">
        <f t="shared" si="25"/>
        <v>9</v>
      </c>
      <c r="B33">
        <f t="shared" si="26"/>
        <v>11</v>
      </c>
      <c r="C33" t="str">
        <f t="shared" si="27"/>
        <v>1]</v>
      </c>
      <c r="D33">
        <f t="shared" si="4"/>
        <v>2</v>
      </c>
      <c r="E33" t="str">
        <f t="shared" si="28"/>
        <v>1</v>
      </c>
      <c r="F33" t="str">
        <f t="shared" si="29"/>
        <v>1</v>
      </c>
      <c r="G33">
        <f t="shared" si="30"/>
        <v>6</v>
      </c>
      <c r="H33" t="s">
        <v>304</v>
      </c>
      <c r="I33" t="str">
        <f t="shared" si="7"/>
        <v/>
      </c>
      <c r="J33" t="str">
        <f t="shared" si="8"/>
        <v/>
      </c>
      <c r="K33">
        <f t="shared" si="9"/>
        <v>22</v>
      </c>
      <c r="L33" t="str">
        <f t="shared" si="22"/>
        <v>|1,Quotes [1]</v>
      </c>
      <c r="N33" t="str">
        <f t="shared" si="31"/>
        <v>Qu</v>
      </c>
      <c r="O33">
        <f t="shared" si="32"/>
        <v>1</v>
      </c>
      <c r="P33" t="str">
        <f t="shared" si="23"/>
        <v>Ar/Qu</v>
      </c>
      <c r="Q33" s="1" t="str">
        <f t="shared" si="24"/>
        <v>Quotes [1]</v>
      </c>
      <c r="R33" s="2" t="str">
        <f t="shared" si="14"/>
        <v>&lt;li&gt;&lt;input type='checkbox'class= 'ckbx' name='1'value='Ar/Qu'&gt; _ _ Quotes [1]&lt;/li&gt;</v>
      </c>
      <c r="T33" t="str">
        <f t="shared" si="21"/>
        <v>&amp;nbsp;&amp;nbsp;</v>
      </c>
      <c r="U33" t="str">
        <f t="shared" si="15"/>
        <v xml:space="preserve"> _ _ </v>
      </c>
      <c r="V33" s="1" t="s">
        <v>22</v>
      </c>
      <c r="W33" t="str">
        <f t="shared" si="16"/>
        <v>Quotes [1]</v>
      </c>
      <c r="X33" t="str">
        <f t="shared" si="17"/>
        <v>Qu</v>
      </c>
      <c r="Y33">
        <f t="shared" si="18"/>
        <v>10</v>
      </c>
      <c r="Z33">
        <f t="shared" si="19"/>
        <v>11</v>
      </c>
      <c r="AA33">
        <f t="shared" si="20"/>
        <v>1</v>
      </c>
    </row>
    <row r="34" spans="1:27" x14ac:dyDescent="0.25">
      <c r="A34">
        <f t="shared" si="25"/>
        <v>18</v>
      </c>
      <c r="B34">
        <f t="shared" si="26"/>
        <v>20</v>
      </c>
      <c r="C34" t="str">
        <f t="shared" si="27"/>
        <v>1]</v>
      </c>
      <c r="D34">
        <f t="shared" si="4"/>
        <v>2</v>
      </c>
      <c r="E34" t="str">
        <f t="shared" si="28"/>
        <v>1</v>
      </c>
      <c r="F34" t="str">
        <f t="shared" si="29"/>
        <v>1</v>
      </c>
      <c r="G34">
        <f t="shared" si="30"/>
        <v>6</v>
      </c>
      <c r="H34" t="s">
        <v>305</v>
      </c>
      <c r="I34" t="str">
        <f t="shared" si="7"/>
        <v/>
      </c>
      <c r="J34" t="str">
        <f t="shared" si="8"/>
        <v/>
      </c>
      <c r="K34">
        <f t="shared" si="9"/>
        <v>22</v>
      </c>
      <c r="L34" t="str">
        <f t="shared" si="22"/>
        <v>|1,Science Fiction [1]</v>
      </c>
      <c r="N34" t="str">
        <f t="shared" si="31"/>
        <v>Sc</v>
      </c>
      <c r="O34">
        <f t="shared" si="32"/>
        <v>1</v>
      </c>
      <c r="P34" t="str">
        <f t="shared" si="23"/>
        <v>Ar/Sc</v>
      </c>
      <c r="Q34" s="1" t="str">
        <f t="shared" si="24"/>
        <v>Science Fiction [1]</v>
      </c>
      <c r="R34" s="2" t="str">
        <f t="shared" si="14"/>
        <v>&lt;li&gt;&lt;input type='checkbox'class= 'ckbx' name='1'value='Ar/Sc'&gt; _ _ Science Fiction [1]&lt;/li&gt;</v>
      </c>
      <c r="T34" t="str">
        <f t="shared" si="21"/>
        <v>&amp;nbsp;&amp;nbsp;</v>
      </c>
      <c r="U34" t="str">
        <f t="shared" si="15"/>
        <v xml:space="preserve"> _ _ </v>
      </c>
      <c r="V34" s="1" t="s">
        <v>23</v>
      </c>
      <c r="W34" t="str">
        <f t="shared" si="16"/>
        <v>Science Fiction [1]</v>
      </c>
      <c r="X34" t="str">
        <f t="shared" si="17"/>
        <v>Sc</v>
      </c>
      <c r="Y34">
        <f t="shared" si="18"/>
        <v>19</v>
      </c>
      <c r="Z34">
        <f t="shared" ref="Z34:Z39" si="33">LEN(V34)</f>
        <v>20</v>
      </c>
      <c r="AA34">
        <f t="shared" ref="AA34:AA97" si="34">Z34-Y34</f>
        <v>1</v>
      </c>
    </row>
    <row r="35" spans="1:27" x14ac:dyDescent="0.25">
      <c r="A35" t="e">
        <f t="shared" si="25"/>
        <v>#VALUE!</v>
      </c>
      <c r="B35" t="e">
        <f t="shared" si="26"/>
        <v>#VALUE!</v>
      </c>
      <c r="C35" t="e">
        <f t="shared" si="27"/>
        <v>#VALUE!</v>
      </c>
      <c r="D35" t="e">
        <f t="shared" si="4"/>
        <v>#VALUE!</v>
      </c>
      <c r="E35" t="e">
        <f t="shared" si="28"/>
        <v>#VALUE!</v>
      </c>
      <c r="F35">
        <f t="shared" si="29"/>
        <v>0</v>
      </c>
      <c r="G35">
        <f t="shared" si="30"/>
        <v>6</v>
      </c>
      <c r="H35" t="s">
        <v>306</v>
      </c>
      <c r="I35" t="str">
        <f t="shared" si="7"/>
        <v/>
      </c>
      <c r="J35" t="str">
        <f t="shared" si="8"/>
        <v/>
      </c>
      <c r="K35">
        <f t="shared" si="9"/>
        <v>22</v>
      </c>
      <c r="L35" t="str">
        <f t="shared" si="22"/>
        <v>|1,TV</v>
      </c>
      <c r="N35" t="str">
        <f t="shared" si="31"/>
        <v>TV</v>
      </c>
      <c r="O35">
        <f t="shared" si="32"/>
        <v>1</v>
      </c>
      <c r="P35" t="str">
        <f t="shared" si="23"/>
        <v>Ar/TV</v>
      </c>
      <c r="Q35" s="1" t="str">
        <f t="shared" si="24"/>
        <v>TV</v>
      </c>
      <c r="R35" s="2" t="str">
        <f t="shared" si="14"/>
        <v>&lt;li&gt;&lt;input type='checkbox'class= 'ckbx' name='0'value='Ar/TV'&gt; _ _ TV&lt;/li&gt;</v>
      </c>
      <c r="T35" t="str">
        <f t="shared" si="21"/>
        <v>&amp;nbsp;&amp;nbsp;</v>
      </c>
      <c r="U35" t="str">
        <f t="shared" si="15"/>
        <v xml:space="preserve"> _ _ </v>
      </c>
      <c r="V35" s="1" t="s">
        <v>24</v>
      </c>
      <c r="W35" t="str">
        <f t="shared" si="16"/>
        <v>TV</v>
      </c>
      <c r="X35" t="str">
        <f t="shared" si="17"/>
        <v>TV</v>
      </c>
      <c r="Y35">
        <f t="shared" si="18"/>
        <v>2</v>
      </c>
      <c r="Z35">
        <f t="shared" si="33"/>
        <v>3</v>
      </c>
      <c r="AA35">
        <f t="shared" si="34"/>
        <v>1</v>
      </c>
    </row>
    <row r="36" spans="1:27" x14ac:dyDescent="0.25">
      <c r="A36">
        <f t="shared" si="25"/>
        <v>11</v>
      </c>
      <c r="B36">
        <f t="shared" si="26"/>
        <v>13</v>
      </c>
      <c r="C36" t="str">
        <f t="shared" si="27"/>
        <v>3]</v>
      </c>
      <c r="D36">
        <f t="shared" si="4"/>
        <v>2</v>
      </c>
      <c r="E36" t="str">
        <f t="shared" si="28"/>
        <v>3</v>
      </c>
      <c r="F36" t="str">
        <f t="shared" si="29"/>
        <v>3</v>
      </c>
      <c r="G36">
        <f t="shared" si="30"/>
        <v>9</v>
      </c>
      <c r="H36" t="s">
        <v>307</v>
      </c>
      <c r="I36" t="str">
        <f t="shared" si="7"/>
        <v/>
      </c>
      <c r="J36" t="str">
        <f t="shared" si="8"/>
        <v/>
      </c>
      <c r="K36">
        <f t="shared" si="9"/>
        <v>20</v>
      </c>
      <c r="L36" t="str">
        <f t="shared" si="22"/>
        <v>|2,SitComs [3]</v>
      </c>
      <c r="N36" t="str">
        <f t="shared" si="31"/>
        <v>Si</v>
      </c>
      <c r="O36">
        <f t="shared" si="32"/>
        <v>2</v>
      </c>
      <c r="P36" t="str">
        <f t="shared" si="23"/>
        <v>Ar/TV/Si</v>
      </c>
      <c r="Q36" s="1" t="str">
        <f t="shared" si="24"/>
        <v>SitComs [3]</v>
      </c>
      <c r="R36" s="2" t="str">
        <f t="shared" si="14"/>
        <v>&lt;li&gt;&lt;input type='checkbox'class= 'ckbx' name='3'value='Ar/TV/Si'&gt; _ _ _ _SitComs [3]&lt;/li&gt;</v>
      </c>
      <c r="T36" t="str">
        <f t="shared" si="21"/>
        <v>&amp;nbsp;&amp;nbsp;&amp;nbsp;&amp;nbsp;</v>
      </c>
      <c r="U36" t="str">
        <f t="shared" si="15"/>
        <v xml:space="preserve"> _ _ _ _</v>
      </c>
      <c r="V36" s="1" t="s">
        <v>25</v>
      </c>
      <c r="W36" t="str">
        <f t="shared" si="16"/>
        <v>SitComs [3]</v>
      </c>
      <c r="X36" t="str">
        <f t="shared" si="17"/>
        <v>Si</v>
      </c>
      <c r="Y36">
        <f t="shared" si="18"/>
        <v>11</v>
      </c>
      <c r="Z36">
        <f t="shared" si="33"/>
        <v>13</v>
      </c>
      <c r="AA36">
        <f t="shared" si="34"/>
        <v>2</v>
      </c>
    </row>
    <row r="37" spans="1:27" x14ac:dyDescent="0.25">
      <c r="A37">
        <f t="shared" si="25"/>
        <v>10</v>
      </c>
      <c r="B37">
        <f t="shared" si="26"/>
        <v>12</v>
      </c>
      <c r="C37" t="str">
        <f t="shared" si="27"/>
        <v>1]</v>
      </c>
      <c r="D37">
        <f t="shared" si="4"/>
        <v>2</v>
      </c>
      <c r="E37" t="str">
        <f t="shared" si="28"/>
        <v>1</v>
      </c>
      <c r="F37" t="str">
        <f t="shared" si="29"/>
        <v>1</v>
      </c>
      <c r="G37">
        <f t="shared" si="30"/>
        <v>3</v>
      </c>
      <c r="H37" t="s">
        <v>273</v>
      </c>
      <c r="I37" t="str">
        <f t="shared" si="7"/>
        <v>&lt;b&gt;</v>
      </c>
      <c r="J37" t="str">
        <f t="shared" si="8"/>
        <v>&lt;/b&gt;</v>
      </c>
      <c r="K37">
        <f t="shared" si="9"/>
        <v>24</v>
      </c>
      <c r="L37" t="str">
        <f t="shared" si="22"/>
        <v>|0,Business [1]</v>
      </c>
      <c r="N37" t="str">
        <f t="shared" si="31"/>
        <v>Bu</v>
      </c>
      <c r="O37">
        <f t="shared" si="32"/>
        <v>0</v>
      </c>
      <c r="P37" t="str">
        <f t="shared" si="23"/>
        <v>Bu</v>
      </c>
      <c r="Q37" s="1" t="str">
        <f t="shared" si="24"/>
        <v>Business [1]</v>
      </c>
      <c r="R37" s="2" t="str">
        <f t="shared" si="14"/>
        <v>&lt;li&gt;&lt;input type='checkbox'class= 'ckbx' name='1'value='Bu'&gt;&lt;b&gt;Business [1]&lt;/b&gt;&lt;/li&gt;</v>
      </c>
      <c r="T37" t="str">
        <f t="shared" si="21"/>
        <v/>
      </c>
      <c r="U37" t="str">
        <f t="shared" si="15"/>
        <v/>
      </c>
      <c r="V37" s="1" t="s">
        <v>26</v>
      </c>
      <c r="W37" t="str">
        <f t="shared" si="16"/>
        <v>Business [1]</v>
      </c>
      <c r="X37" t="str">
        <f t="shared" si="17"/>
        <v>Bu</v>
      </c>
      <c r="Y37">
        <f t="shared" si="18"/>
        <v>12</v>
      </c>
      <c r="Z37">
        <f t="shared" si="33"/>
        <v>12</v>
      </c>
      <c r="AA37">
        <f t="shared" si="34"/>
        <v>0</v>
      </c>
    </row>
    <row r="38" spans="1:27" x14ac:dyDescent="0.25">
      <c r="A38">
        <f t="shared" si="25"/>
        <v>18</v>
      </c>
      <c r="B38">
        <f t="shared" si="26"/>
        <v>21</v>
      </c>
      <c r="C38" t="str">
        <f t="shared" si="27"/>
        <v>51]</v>
      </c>
      <c r="D38">
        <f t="shared" si="4"/>
        <v>3</v>
      </c>
      <c r="E38" t="str">
        <f t="shared" si="28"/>
        <v>51</v>
      </c>
      <c r="F38" t="str">
        <f t="shared" si="29"/>
        <v>51</v>
      </c>
      <c r="G38">
        <f t="shared" si="30"/>
        <v>6</v>
      </c>
      <c r="H38" t="s">
        <v>308</v>
      </c>
      <c r="I38" t="str">
        <f t="shared" si="7"/>
        <v/>
      </c>
      <c r="J38" t="str">
        <f t="shared" si="8"/>
        <v/>
      </c>
      <c r="K38">
        <f t="shared" si="9"/>
        <v>22</v>
      </c>
      <c r="L38" t="str">
        <f t="shared" si="22"/>
        <v>|1,Money &amp; Finance [51]</v>
      </c>
      <c r="N38" t="str">
        <f t="shared" si="31"/>
        <v>Mo</v>
      </c>
      <c r="O38">
        <f t="shared" si="32"/>
        <v>1</v>
      </c>
      <c r="P38" t="str">
        <f t="shared" si="23"/>
        <v>Bu/Mo</v>
      </c>
      <c r="Q38" s="1" t="str">
        <f t="shared" si="24"/>
        <v>Money &amp; Finance [51]</v>
      </c>
      <c r="R38" s="2" t="str">
        <f t="shared" si="14"/>
        <v>&lt;li&gt;&lt;input type='checkbox'class= 'ckbx' name='51'value='Bu/Mo'&gt; _ _ Money &amp; Finance [51]&lt;/li&gt;</v>
      </c>
      <c r="T38" t="str">
        <f t="shared" si="21"/>
        <v>&amp;nbsp;&amp;nbsp;</v>
      </c>
      <c r="U38" t="str">
        <f t="shared" si="15"/>
        <v xml:space="preserve"> _ _ </v>
      </c>
      <c r="V38" s="1" t="s">
        <v>27</v>
      </c>
      <c r="W38" t="str">
        <f t="shared" si="16"/>
        <v>Money &amp; Finance [51]</v>
      </c>
      <c r="X38" t="str">
        <f t="shared" si="17"/>
        <v>Mo</v>
      </c>
      <c r="Y38">
        <f t="shared" si="18"/>
        <v>20</v>
      </c>
      <c r="Z38">
        <f t="shared" si="33"/>
        <v>21</v>
      </c>
      <c r="AA38">
        <f t="shared" si="34"/>
        <v>1</v>
      </c>
    </row>
    <row r="39" spans="1:27" x14ac:dyDescent="0.25">
      <c r="A39">
        <f t="shared" si="25"/>
        <v>14</v>
      </c>
      <c r="B39">
        <f t="shared" si="26"/>
        <v>16</v>
      </c>
      <c r="C39" t="str">
        <f t="shared" si="27"/>
        <v>8]</v>
      </c>
      <c r="D39">
        <f t="shared" si="4"/>
        <v>2</v>
      </c>
      <c r="E39" t="str">
        <f t="shared" si="28"/>
        <v>8</v>
      </c>
      <c r="F39" t="str">
        <f t="shared" si="29"/>
        <v>8</v>
      </c>
      <c r="G39">
        <f t="shared" si="30"/>
        <v>6</v>
      </c>
      <c r="H39" t="s">
        <v>309</v>
      </c>
      <c r="I39" t="str">
        <f t="shared" si="7"/>
        <v/>
      </c>
      <c r="J39" t="str">
        <f t="shared" si="8"/>
        <v/>
      </c>
      <c r="K39">
        <f t="shared" si="9"/>
        <v>22</v>
      </c>
      <c r="L39" t="str">
        <f t="shared" si="22"/>
        <v>|1,Professions [8]</v>
      </c>
      <c r="N39" t="str">
        <f t="shared" si="31"/>
        <v>Pr</v>
      </c>
      <c r="O39">
        <f t="shared" si="32"/>
        <v>1</v>
      </c>
      <c r="P39" t="str">
        <f t="shared" si="23"/>
        <v>Bu/Pr</v>
      </c>
      <c r="Q39" s="1" t="str">
        <f t="shared" si="24"/>
        <v>Professions [8]</v>
      </c>
      <c r="R39" s="2" t="str">
        <f t="shared" si="14"/>
        <v>&lt;li&gt;&lt;input type='checkbox'class= 'ckbx' name='8'value='Bu/Pr'&gt; _ _ Professions [8]&lt;/li&gt;</v>
      </c>
      <c r="T39" t="str">
        <f t="shared" si="21"/>
        <v>&amp;nbsp;&amp;nbsp;</v>
      </c>
      <c r="U39" t="str">
        <f t="shared" si="15"/>
        <v xml:space="preserve"> _ _ </v>
      </c>
      <c r="V39" s="1" t="s">
        <v>28</v>
      </c>
      <c r="W39" t="str">
        <f t="shared" si="16"/>
        <v>Professions [8]</v>
      </c>
      <c r="X39" t="str">
        <f t="shared" si="17"/>
        <v>Pr</v>
      </c>
      <c r="Y39">
        <f t="shared" si="18"/>
        <v>15</v>
      </c>
      <c r="Z39">
        <f t="shared" si="33"/>
        <v>16</v>
      </c>
      <c r="AA39">
        <f t="shared" si="34"/>
        <v>1</v>
      </c>
    </row>
    <row r="40" spans="1:27" x14ac:dyDescent="0.25">
      <c r="A40">
        <f t="shared" si="25"/>
        <v>16</v>
      </c>
      <c r="B40">
        <f t="shared" si="26"/>
        <v>18</v>
      </c>
      <c r="C40" t="str">
        <f t="shared" si="27"/>
        <v>1]</v>
      </c>
      <c r="D40">
        <f t="shared" si="4"/>
        <v>2</v>
      </c>
      <c r="E40" t="str">
        <f t="shared" si="28"/>
        <v>1</v>
      </c>
      <c r="F40" t="str">
        <f t="shared" si="29"/>
        <v>1</v>
      </c>
      <c r="G40">
        <f t="shared" si="30"/>
        <v>6</v>
      </c>
      <c r="H40" t="s">
        <v>310</v>
      </c>
      <c r="I40" t="str">
        <f t="shared" si="7"/>
        <v/>
      </c>
      <c r="J40" t="str">
        <f t="shared" si="8"/>
        <v/>
      </c>
      <c r="K40">
        <f t="shared" si="9"/>
        <v>22</v>
      </c>
      <c r="L40" t="str">
        <f t="shared" si="22"/>
        <v>|1,Top Companies [1]</v>
      </c>
      <c r="N40" t="str">
        <f t="shared" si="31"/>
        <v>To</v>
      </c>
      <c r="O40">
        <f t="shared" si="32"/>
        <v>1</v>
      </c>
      <c r="P40" t="str">
        <f t="shared" si="23"/>
        <v>Bu/To</v>
      </c>
      <c r="Q40" s="1" t="str">
        <f t="shared" si="24"/>
        <v>Top Companies [1]</v>
      </c>
      <c r="R40" s="2" t="str">
        <f t="shared" si="14"/>
        <v>&lt;li&gt;&lt;input type='checkbox'class= 'ckbx' name='1'value='Bu/To'&gt; _ _ Top Companies [1]&lt;/li&gt;</v>
      </c>
      <c r="T40" t="str">
        <f t="shared" si="21"/>
        <v>&amp;nbsp;&amp;nbsp;</v>
      </c>
      <c r="U40" t="str">
        <f t="shared" si="15"/>
        <v xml:space="preserve"> _ _ </v>
      </c>
      <c r="V40" s="1" t="s">
        <v>29</v>
      </c>
      <c r="W40" t="str">
        <f t="shared" ref="W40:W103" si="35">TRIM(V40)</f>
        <v>Top Companies [1]</v>
      </c>
      <c r="X40" t="str">
        <f t="shared" si="17"/>
        <v>To</v>
      </c>
      <c r="Y40">
        <f t="shared" si="18"/>
        <v>17</v>
      </c>
      <c r="Z40">
        <f t="shared" ref="Z40:Z103" si="36">LEN(V40)</f>
        <v>18</v>
      </c>
      <c r="AA40">
        <f t="shared" si="34"/>
        <v>1</v>
      </c>
    </row>
    <row r="41" spans="1:27" x14ac:dyDescent="0.25">
      <c r="A41">
        <f t="shared" si="25"/>
        <v>8</v>
      </c>
      <c r="B41">
        <f t="shared" si="26"/>
        <v>10</v>
      </c>
      <c r="C41" t="str">
        <f t="shared" si="27"/>
        <v>5]</v>
      </c>
      <c r="D41">
        <f t="shared" si="4"/>
        <v>2</v>
      </c>
      <c r="E41" t="str">
        <f t="shared" si="28"/>
        <v>5</v>
      </c>
      <c r="F41" t="str">
        <f t="shared" si="29"/>
        <v>5</v>
      </c>
      <c r="G41">
        <f t="shared" si="30"/>
        <v>3</v>
      </c>
      <c r="H41" t="s">
        <v>274</v>
      </c>
      <c r="I41" t="str">
        <f t="shared" si="7"/>
        <v>&lt;b&gt;</v>
      </c>
      <c r="J41" t="str">
        <f t="shared" si="8"/>
        <v>&lt;/b&gt;</v>
      </c>
      <c r="K41">
        <f t="shared" si="9"/>
        <v>24</v>
      </c>
      <c r="L41" t="str">
        <f t="shared" si="22"/>
        <v>|0,Civics [5]</v>
      </c>
      <c r="N41" t="str">
        <f t="shared" si="31"/>
        <v>Ci</v>
      </c>
      <c r="O41">
        <f t="shared" si="32"/>
        <v>0</v>
      </c>
      <c r="P41" t="str">
        <f t="shared" si="23"/>
        <v>Ci</v>
      </c>
      <c r="Q41" s="1" t="str">
        <f t="shared" si="24"/>
        <v>Civics [5]</v>
      </c>
      <c r="R41" s="2" t="str">
        <f t="shared" si="14"/>
        <v>&lt;li&gt;&lt;input type='checkbox'class= 'ckbx' name='5'value='Ci'&gt;&lt;b&gt;Civics [5]&lt;/b&gt;&lt;/li&gt;</v>
      </c>
      <c r="T41" t="str">
        <f t="shared" si="21"/>
        <v/>
      </c>
      <c r="U41" t="str">
        <f t="shared" si="15"/>
        <v/>
      </c>
      <c r="V41" s="1" t="s">
        <v>30</v>
      </c>
      <c r="W41" t="str">
        <f t="shared" si="35"/>
        <v>Civics [5]</v>
      </c>
      <c r="X41" t="str">
        <f t="shared" si="17"/>
        <v>Ci</v>
      </c>
      <c r="Y41">
        <f t="shared" si="18"/>
        <v>10</v>
      </c>
      <c r="Z41">
        <f t="shared" si="36"/>
        <v>10</v>
      </c>
      <c r="AA41">
        <f t="shared" si="34"/>
        <v>0</v>
      </c>
    </row>
    <row r="42" spans="1:27" x14ac:dyDescent="0.25">
      <c r="A42">
        <f t="shared" si="25"/>
        <v>5</v>
      </c>
      <c r="B42">
        <f t="shared" si="26"/>
        <v>10</v>
      </c>
      <c r="C42" t="str">
        <f t="shared" si="27"/>
        <v>1976]</v>
      </c>
      <c r="D42">
        <f t="shared" si="4"/>
        <v>5</v>
      </c>
      <c r="E42" t="str">
        <f t="shared" si="28"/>
        <v>1976</v>
      </c>
      <c r="F42" t="str">
        <f t="shared" si="29"/>
        <v>1976</v>
      </c>
      <c r="G42">
        <f t="shared" si="30"/>
        <v>6</v>
      </c>
      <c r="H42" t="s">
        <v>311</v>
      </c>
      <c r="I42" t="str">
        <f t="shared" si="7"/>
        <v/>
      </c>
      <c r="J42" t="str">
        <f t="shared" si="8"/>
        <v/>
      </c>
      <c r="K42">
        <f t="shared" si="9"/>
        <v>22</v>
      </c>
      <c r="L42" t="str">
        <f t="shared" si="22"/>
        <v>|1,US [1976]</v>
      </c>
      <c r="N42" t="str">
        <f t="shared" si="31"/>
        <v>US</v>
      </c>
      <c r="O42">
        <f t="shared" si="32"/>
        <v>1</v>
      </c>
      <c r="P42" t="str">
        <f t="shared" si="23"/>
        <v>Ci/US</v>
      </c>
      <c r="Q42" s="1" t="str">
        <f t="shared" si="24"/>
        <v>US [1976]</v>
      </c>
      <c r="R42" s="2" t="str">
        <f t="shared" si="14"/>
        <v>&lt;li&gt;&lt;input type='checkbox'class= 'ckbx' name='1976'value='Ci/US'&gt; _ _ US [1976]&lt;/li&gt;</v>
      </c>
      <c r="T42" t="str">
        <f t="shared" si="21"/>
        <v>&amp;nbsp;&amp;nbsp;</v>
      </c>
      <c r="U42" t="str">
        <f t="shared" si="15"/>
        <v xml:space="preserve"> _ _ </v>
      </c>
      <c r="V42" s="1" t="s">
        <v>31</v>
      </c>
      <c r="W42" t="str">
        <f t="shared" si="35"/>
        <v>US [1976]</v>
      </c>
      <c r="X42" t="str">
        <f t="shared" si="17"/>
        <v>US</v>
      </c>
      <c r="Y42">
        <f t="shared" si="18"/>
        <v>9</v>
      </c>
      <c r="Z42">
        <f t="shared" si="36"/>
        <v>10</v>
      </c>
      <c r="AA42">
        <f t="shared" si="34"/>
        <v>1</v>
      </c>
    </row>
    <row r="43" spans="1:27" x14ac:dyDescent="0.25">
      <c r="A43">
        <f t="shared" si="25"/>
        <v>8</v>
      </c>
      <c r="B43">
        <f t="shared" si="26"/>
        <v>12</v>
      </c>
      <c r="C43" t="str">
        <f t="shared" si="27"/>
        <v>101]</v>
      </c>
      <c r="D43">
        <f t="shared" si="4"/>
        <v>4</v>
      </c>
      <c r="E43" t="str">
        <f t="shared" si="28"/>
        <v>101</v>
      </c>
      <c r="F43" t="str">
        <f t="shared" si="29"/>
        <v>101</v>
      </c>
      <c r="G43">
        <f t="shared" si="30"/>
        <v>9</v>
      </c>
      <c r="H43" t="s">
        <v>312</v>
      </c>
      <c r="I43" t="str">
        <f t="shared" si="7"/>
        <v/>
      </c>
      <c r="J43" t="str">
        <f t="shared" si="8"/>
        <v/>
      </c>
      <c r="K43">
        <f t="shared" si="9"/>
        <v>20</v>
      </c>
      <c r="L43" t="str">
        <f t="shared" si="22"/>
        <v>|2,Laws [101]</v>
      </c>
      <c r="N43" t="str">
        <f t="shared" si="31"/>
        <v>La</v>
      </c>
      <c r="O43">
        <f t="shared" si="32"/>
        <v>2</v>
      </c>
      <c r="P43" t="str">
        <f t="shared" si="23"/>
        <v>Ci/US/La</v>
      </c>
      <c r="Q43" s="1" t="str">
        <f t="shared" si="24"/>
        <v>Laws [101]</v>
      </c>
      <c r="R43" s="2" t="str">
        <f t="shared" si="14"/>
        <v>&lt;li&gt;&lt;input type='checkbox'class= 'ckbx' name='101'value='Ci/US/La'&gt; _ _ _ _Laws [101]&lt;/li&gt;</v>
      </c>
      <c r="T43" t="str">
        <f t="shared" si="21"/>
        <v>&amp;nbsp;&amp;nbsp;&amp;nbsp;&amp;nbsp;</v>
      </c>
      <c r="U43" t="str">
        <f t="shared" si="15"/>
        <v xml:space="preserve"> _ _ _ _</v>
      </c>
      <c r="V43" s="1" t="s">
        <v>32</v>
      </c>
      <c r="W43" t="str">
        <f t="shared" si="35"/>
        <v>Laws [101]</v>
      </c>
      <c r="X43" t="str">
        <f t="shared" si="17"/>
        <v>La</v>
      </c>
      <c r="Y43">
        <f t="shared" si="18"/>
        <v>10</v>
      </c>
      <c r="Z43">
        <f t="shared" si="36"/>
        <v>12</v>
      </c>
      <c r="AA43">
        <f t="shared" si="34"/>
        <v>2</v>
      </c>
    </row>
    <row r="44" spans="1:27" x14ac:dyDescent="0.25">
      <c r="A44">
        <f t="shared" si="25"/>
        <v>16</v>
      </c>
      <c r="B44">
        <f t="shared" si="26"/>
        <v>18</v>
      </c>
      <c r="C44" t="str">
        <f t="shared" si="27"/>
        <v>2]</v>
      </c>
      <c r="D44">
        <f t="shared" si="4"/>
        <v>2</v>
      </c>
      <c r="E44" t="str">
        <f t="shared" si="28"/>
        <v>2</v>
      </c>
      <c r="F44" t="str">
        <f t="shared" si="29"/>
        <v>2</v>
      </c>
      <c r="G44">
        <f t="shared" si="30"/>
        <v>3</v>
      </c>
      <c r="H44" t="s">
        <v>275</v>
      </c>
      <c r="I44" t="str">
        <f t="shared" si="7"/>
        <v>&lt;b&gt;</v>
      </c>
      <c r="J44" t="str">
        <f t="shared" si="8"/>
        <v>&lt;/b&gt;</v>
      </c>
      <c r="K44">
        <f t="shared" si="9"/>
        <v>24</v>
      </c>
      <c r="L44" t="str">
        <f t="shared" si="22"/>
        <v>|0,Communications [2]</v>
      </c>
      <c r="N44" t="str">
        <f t="shared" si="31"/>
        <v>Co</v>
      </c>
      <c r="O44">
        <f t="shared" si="32"/>
        <v>0</v>
      </c>
      <c r="P44" t="str">
        <f t="shared" si="23"/>
        <v>Co</v>
      </c>
      <c r="Q44" s="1" t="str">
        <f t="shared" si="24"/>
        <v>Communications [2]</v>
      </c>
      <c r="R44" s="2" t="str">
        <f t="shared" si="14"/>
        <v>&lt;li&gt;&lt;input type='checkbox'class= 'ckbx' name='2'value='Co'&gt;&lt;b&gt;Communications [2]&lt;/b&gt;&lt;/li&gt;</v>
      </c>
      <c r="T44" t="str">
        <f t="shared" si="21"/>
        <v/>
      </c>
      <c r="U44" t="str">
        <f t="shared" si="15"/>
        <v/>
      </c>
      <c r="V44" s="1" t="s">
        <v>33</v>
      </c>
      <c r="W44" t="str">
        <f t="shared" si="35"/>
        <v>Communications [2]</v>
      </c>
      <c r="X44" t="str">
        <f t="shared" si="17"/>
        <v>Co</v>
      </c>
      <c r="Y44">
        <f t="shared" si="18"/>
        <v>18</v>
      </c>
      <c r="Z44">
        <f t="shared" si="36"/>
        <v>18</v>
      </c>
      <c r="AA44">
        <f t="shared" si="34"/>
        <v>0</v>
      </c>
    </row>
    <row r="45" spans="1:27" x14ac:dyDescent="0.25">
      <c r="A45">
        <f t="shared" si="25"/>
        <v>18</v>
      </c>
      <c r="B45">
        <f t="shared" si="26"/>
        <v>20</v>
      </c>
      <c r="C45" t="str">
        <f t="shared" si="27"/>
        <v>2]</v>
      </c>
      <c r="D45">
        <f t="shared" si="4"/>
        <v>2</v>
      </c>
      <c r="E45" t="str">
        <f t="shared" si="28"/>
        <v>2</v>
      </c>
      <c r="F45" t="str">
        <f t="shared" si="29"/>
        <v>2</v>
      </c>
      <c r="G45">
        <f t="shared" si="30"/>
        <v>6</v>
      </c>
      <c r="H45" t="s">
        <v>313</v>
      </c>
      <c r="I45" t="str">
        <f t="shared" si="7"/>
        <v/>
      </c>
      <c r="J45" t="str">
        <f t="shared" si="8"/>
        <v/>
      </c>
      <c r="K45">
        <f t="shared" si="9"/>
        <v>22</v>
      </c>
      <c r="L45" t="str">
        <f t="shared" si="22"/>
        <v>|1,Signs &amp; Symbols [2]</v>
      </c>
      <c r="N45" t="str">
        <f t="shared" si="31"/>
        <v>Si</v>
      </c>
      <c r="O45">
        <f t="shared" si="32"/>
        <v>1</v>
      </c>
      <c r="P45" t="str">
        <f t="shared" si="23"/>
        <v>Co/Si</v>
      </c>
      <c r="Q45" s="1" t="str">
        <f t="shared" si="24"/>
        <v>Signs &amp; Symbols [2]</v>
      </c>
      <c r="R45" s="2" t="str">
        <f t="shared" si="14"/>
        <v>&lt;li&gt;&lt;input type='checkbox'class= 'ckbx' name='2'value='Co/Si'&gt; _ _ Signs &amp; Symbols [2]&lt;/li&gt;</v>
      </c>
      <c r="T45" t="str">
        <f t="shared" si="21"/>
        <v>&amp;nbsp;&amp;nbsp;</v>
      </c>
      <c r="U45" t="str">
        <f t="shared" si="15"/>
        <v xml:space="preserve"> _ _ </v>
      </c>
      <c r="V45" s="1" t="s">
        <v>34</v>
      </c>
      <c r="W45" t="str">
        <f t="shared" si="35"/>
        <v>Signs &amp; Symbols [2]</v>
      </c>
      <c r="X45" t="str">
        <f t="shared" si="17"/>
        <v>Si</v>
      </c>
      <c r="Y45">
        <f t="shared" si="18"/>
        <v>19</v>
      </c>
      <c r="Z45">
        <f t="shared" si="36"/>
        <v>20</v>
      </c>
      <c r="AA45">
        <f t="shared" si="34"/>
        <v>1</v>
      </c>
    </row>
    <row r="46" spans="1:27" x14ac:dyDescent="0.25">
      <c r="A46">
        <f t="shared" si="25"/>
        <v>8</v>
      </c>
      <c r="B46">
        <f t="shared" si="26"/>
        <v>10</v>
      </c>
      <c r="C46" t="str">
        <f t="shared" si="27"/>
        <v>2]</v>
      </c>
      <c r="D46">
        <f t="shared" si="4"/>
        <v>2</v>
      </c>
      <c r="E46" t="str">
        <f t="shared" si="28"/>
        <v>2</v>
      </c>
      <c r="F46" t="str">
        <f t="shared" si="29"/>
        <v>2</v>
      </c>
      <c r="G46">
        <f t="shared" si="30"/>
        <v>6</v>
      </c>
      <c r="H46" t="s">
        <v>314</v>
      </c>
      <c r="I46" t="str">
        <f t="shared" si="7"/>
        <v/>
      </c>
      <c r="J46" t="str">
        <f t="shared" si="8"/>
        <v/>
      </c>
      <c r="K46">
        <f t="shared" si="9"/>
        <v>22</v>
      </c>
      <c r="L46" t="str">
        <f t="shared" si="22"/>
        <v>|1,Slang [2]</v>
      </c>
      <c r="N46" t="str">
        <f t="shared" si="31"/>
        <v>Sl</v>
      </c>
      <c r="O46">
        <f t="shared" si="32"/>
        <v>1</v>
      </c>
      <c r="P46" t="str">
        <f t="shared" si="23"/>
        <v>Co/Sl</v>
      </c>
      <c r="Q46" s="1" t="str">
        <f t="shared" si="24"/>
        <v>Slang [2]</v>
      </c>
      <c r="R46" s="2" t="str">
        <f t="shared" si="14"/>
        <v>&lt;li&gt;&lt;input type='checkbox'class= 'ckbx' name='2'value='Co/Sl'&gt; _ _ Slang [2]&lt;/li&gt;</v>
      </c>
      <c r="T46" t="str">
        <f t="shared" si="21"/>
        <v>&amp;nbsp;&amp;nbsp;</v>
      </c>
      <c r="U46" t="str">
        <f t="shared" si="15"/>
        <v xml:space="preserve"> _ _ </v>
      </c>
      <c r="V46" s="1" t="s">
        <v>35</v>
      </c>
      <c r="W46" t="str">
        <f t="shared" si="35"/>
        <v>Slang [2]</v>
      </c>
      <c r="X46" t="str">
        <f t="shared" si="17"/>
        <v>Sl</v>
      </c>
      <c r="Y46">
        <f t="shared" si="18"/>
        <v>9</v>
      </c>
      <c r="Z46">
        <f t="shared" si="36"/>
        <v>10</v>
      </c>
      <c r="AA46">
        <f t="shared" si="34"/>
        <v>1</v>
      </c>
    </row>
    <row r="47" spans="1:27" x14ac:dyDescent="0.25">
      <c r="A47">
        <f t="shared" si="25"/>
        <v>18</v>
      </c>
      <c r="B47">
        <f t="shared" si="26"/>
        <v>21</v>
      </c>
      <c r="C47" t="str">
        <f t="shared" si="27"/>
        <v>14]</v>
      </c>
      <c r="D47">
        <f t="shared" si="4"/>
        <v>3</v>
      </c>
      <c r="E47" t="str">
        <f t="shared" si="28"/>
        <v>14</v>
      </c>
      <c r="F47" t="str">
        <f t="shared" si="29"/>
        <v>14</v>
      </c>
      <c r="G47">
        <f t="shared" si="30"/>
        <v>6</v>
      </c>
      <c r="H47" t="s">
        <v>315</v>
      </c>
      <c r="I47" t="str">
        <f t="shared" si="7"/>
        <v/>
      </c>
      <c r="J47" t="str">
        <f t="shared" si="8"/>
        <v/>
      </c>
      <c r="K47">
        <f t="shared" si="9"/>
        <v>22</v>
      </c>
      <c r="L47" t="str">
        <f t="shared" si="22"/>
        <v>|1,Words &amp; Phrases [14]</v>
      </c>
      <c r="N47" t="str">
        <f t="shared" si="31"/>
        <v>Wo</v>
      </c>
      <c r="O47">
        <f t="shared" si="32"/>
        <v>1</v>
      </c>
      <c r="P47" t="str">
        <f t="shared" si="23"/>
        <v>Co/Wo</v>
      </c>
      <c r="Q47" s="1" t="str">
        <f t="shared" si="24"/>
        <v>Words &amp; Phrases [14]</v>
      </c>
      <c r="R47" s="2" t="str">
        <f t="shared" si="14"/>
        <v>&lt;li&gt;&lt;input type='checkbox'class= 'ckbx' name='14'value='Co/Wo'&gt; _ _ Words &amp; Phrases [14]&lt;/li&gt;</v>
      </c>
      <c r="T47" t="str">
        <f t="shared" si="21"/>
        <v>&amp;nbsp;&amp;nbsp;</v>
      </c>
      <c r="U47" t="str">
        <f t="shared" si="15"/>
        <v xml:space="preserve"> _ _ </v>
      </c>
      <c r="V47" s="1" t="s">
        <v>36</v>
      </c>
      <c r="W47" t="str">
        <f t="shared" si="35"/>
        <v>Words &amp; Phrases [14]</v>
      </c>
      <c r="X47" t="str">
        <f t="shared" si="17"/>
        <v>Wo</v>
      </c>
      <c r="Y47">
        <f t="shared" si="18"/>
        <v>20</v>
      </c>
      <c r="Z47">
        <f t="shared" si="36"/>
        <v>21</v>
      </c>
      <c r="AA47">
        <f t="shared" si="34"/>
        <v>1</v>
      </c>
    </row>
    <row r="48" spans="1:27" x14ac:dyDescent="0.25">
      <c r="A48">
        <f t="shared" si="25"/>
        <v>16</v>
      </c>
      <c r="B48">
        <f t="shared" si="26"/>
        <v>18</v>
      </c>
      <c r="C48" t="str">
        <f t="shared" si="27"/>
        <v>3]</v>
      </c>
      <c r="D48">
        <f t="shared" si="4"/>
        <v>2</v>
      </c>
      <c r="E48" t="str">
        <f t="shared" si="28"/>
        <v>3</v>
      </c>
      <c r="F48" t="str">
        <f t="shared" si="29"/>
        <v>3</v>
      </c>
      <c r="G48">
        <f t="shared" si="30"/>
        <v>3</v>
      </c>
      <c r="H48" t="s">
        <v>276</v>
      </c>
      <c r="I48" t="str">
        <f t="shared" si="7"/>
        <v>&lt;b&gt;</v>
      </c>
      <c r="J48" t="str">
        <f t="shared" si="8"/>
        <v>&lt;/b&gt;</v>
      </c>
      <c r="K48">
        <f t="shared" si="9"/>
        <v>24</v>
      </c>
      <c r="L48" t="str">
        <f t="shared" si="22"/>
        <v>|0,Current Events [3]</v>
      </c>
      <c r="N48" t="str">
        <f t="shared" si="31"/>
        <v>Cu</v>
      </c>
      <c r="O48">
        <f t="shared" si="32"/>
        <v>0</v>
      </c>
      <c r="P48" t="str">
        <f t="shared" si="23"/>
        <v>Cu</v>
      </c>
      <c r="Q48" s="1" t="str">
        <f t="shared" si="24"/>
        <v>Current Events [3]</v>
      </c>
      <c r="R48" s="2" t="str">
        <f t="shared" si="14"/>
        <v>&lt;li&gt;&lt;input type='checkbox'class= 'ckbx' name='3'value='Cu'&gt;&lt;b&gt;Current Events [3]&lt;/b&gt;&lt;/li&gt;</v>
      </c>
      <c r="T48" t="str">
        <f t="shared" si="21"/>
        <v/>
      </c>
      <c r="U48" t="str">
        <f t="shared" si="15"/>
        <v/>
      </c>
      <c r="V48" s="1" t="s">
        <v>37</v>
      </c>
      <c r="W48" t="str">
        <f t="shared" si="35"/>
        <v>Current Events [3]</v>
      </c>
      <c r="X48" t="str">
        <f t="shared" si="17"/>
        <v>Cu</v>
      </c>
      <c r="Y48">
        <f t="shared" si="18"/>
        <v>18</v>
      </c>
      <c r="Z48">
        <f t="shared" si="36"/>
        <v>18</v>
      </c>
      <c r="AA48">
        <f t="shared" si="34"/>
        <v>0</v>
      </c>
    </row>
    <row r="49" spans="1:27" x14ac:dyDescent="0.25">
      <c r="A49">
        <f t="shared" si="25"/>
        <v>11</v>
      </c>
      <c r="B49">
        <f t="shared" si="26"/>
        <v>14</v>
      </c>
      <c r="C49" t="str">
        <f t="shared" si="27"/>
        <v>15]</v>
      </c>
      <c r="D49">
        <f t="shared" si="4"/>
        <v>3</v>
      </c>
      <c r="E49" t="str">
        <f t="shared" si="28"/>
        <v>15</v>
      </c>
      <c r="F49" t="str">
        <f t="shared" si="29"/>
        <v>15</v>
      </c>
      <c r="G49">
        <f t="shared" si="30"/>
        <v>6</v>
      </c>
      <c r="H49" t="s">
        <v>316</v>
      </c>
      <c r="I49" t="str">
        <f t="shared" si="7"/>
        <v/>
      </c>
      <c r="J49" t="str">
        <f t="shared" si="8"/>
        <v/>
      </c>
      <c r="K49">
        <f t="shared" si="9"/>
        <v>22</v>
      </c>
      <c r="L49" t="str">
        <f t="shared" si="22"/>
        <v>|1,Diasters [15]</v>
      </c>
      <c r="N49" t="str">
        <f t="shared" si="31"/>
        <v>Di</v>
      </c>
      <c r="O49">
        <f t="shared" si="32"/>
        <v>1</v>
      </c>
      <c r="P49" t="str">
        <f t="shared" si="23"/>
        <v>Cu/Di</v>
      </c>
      <c r="Q49" s="1" t="str">
        <f t="shared" si="24"/>
        <v>Diasters [15]</v>
      </c>
      <c r="R49" s="2" t="str">
        <f t="shared" si="14"/>
        <v>&lt;li&gt;&lt;input type='checkbox'class= 'ckbx' name='15'value='Cu/Di'&gt; _ _ Diasters [15]&lt;/li&gt;</v>
      </c>
      <c r="T49" t="str">
        <f t="shared" si="21"/>
        <v>&amp;nbsp;&amp;nbsp;</v>
      </c>
      <c r="U49" t="str">
        <f t="shared" si="15"/>
        <v xml:space="preserve"> _ _ </v>
      </c>
      <c r="V49" s="1" t="s">
        <v>38</v>
      </c>
      <c r="W49" t="str">
        <f t="shared" si="35"/>
        <v>Diasters [15]</v>
      </c>
      <c r="X49" t="str">
        <f t="shared" si="17"/>
        <v>Di</v>
      </c>
      <c r="Y49">
        <f t="shared" si="18"/>
        <v>13</v>
      </c>
      <c r="Z49">
        <f t="shared" si="36"/>
        <v>14</v>
      </c>
      <c r="AA49">
        <f t="shared" si="34"/>
        <v>1</v>
      </c>
    </row>
    <row r="50" spans="1:27" x14ac:dyDescent="0.25">
      <c r="A50">
        <f t="shared" si="25"/>
        <v>22</v>
      </c>
      <c r="B50">
        <f t="shared" si="26"/>
        <v>25</v>
      </c>
      <c r="C50" t="str">
        <f t="shared" si="27"/>
        <v>97]</v>
      </c>
      <c r="D50">
        <f t="shared" si="4"/>
        <v>3</v>
      </c>
      <c r="E50" t="str">
        <f t="shared" si="28"/>
        <v>97</v>
      </c>
      <c r="F50" t="str">
        <f t="shared" si="29"/>
        <v>97</v>
      </c>
      <c r="G50">
        <f t="shared" si="30"/>
        <v>6</v>
      </c>
      <c r="H50" t="s">
        <v>317</v>
      </c>
      <c r="I50" t="str">
        <f t="shared" si="7"/>
        <v/>
      </c>
      <c r="J50" t="str">
        <f t="shared" si="8"/>
        <v/>
      </c>
      <c r="K50">
        <f t="shared" si="9"/>
        <v>22</v>
      </c>
      <c r="L50" t="str">
        <f t="shared" si="22"/>
        <v>|1,Newspaper Headlines [97]</v>
      </c>
      <c r="N50" t="str">
        <f t="shared" si="31"/>
        <v>Ne</v>
      </c>
      <c r="O50">
        <f t="shared" si="32"/>
        <v>1</v>
      </c>
      <c r="P50" t="str">
        <f t="shared" si="23"/>
        <v>Cu/Ne</v>
      </c>
      <c r="Q50" s="1" t="str">
        <f t="shared" si="24"/>
        <v>Newspaper Headlines [97]</v>
      </c>
      <c r="R50" s="2" t="str">
        <f t="shared" si="14"/>
        <v>&lt;li&gt;&lt;input type='checkbox'class= 'ckbx' name='97'value='Cu/Ne'&gt; _ _ Newspaper Headlines [97]&lt;/li&gt;</v>
      </c>
      <c r="T50" t="str">
        <f t="shared" si="21"/>
        <v>&amp;nbsp;&amp;nbsp;</v>
      </c>
      <c r="U50" t="str">
        <f t="shared" si="15"/>
        <v xml:space="preserve"> _ _ </v>
      </c>
      <c r="V50" s="1" t="s">
        <v>39</v>
      </c>
      <c r="W50" t="str">
        <f t="shared" si="35"/>
        <v>Newspaper Headlines [97]</v>
      </c>
      <c r="X50" t="str">
        <f t="shared" si="17"/>
        <v>Ne</v>
      </c>
      <c r="Y50">
        <f t="shared" si="18"/>
        <v>24</v>
      </c>
      <c r="Z50">
        <f t="shared" si="36"/>
        <v>25</v>
      </c>
      <c r="AA50">
        <f t="shared" si="34"/>
        <v>1</v>
      </c>
    </row>
    <row r="51" spans="1:27" x14ac:dyDescent="0.25">
      <c r="A51">
        <f t="shared" si="25"/>
        <v>21</v>
      </c>
      <c r="B51">
        <f t="shared" si="26"/>
        <v>25</v>
      </c>
      <c r="C51" t="str">
        <f t="shared" si="27"/>
        <v>474]</v>
      </c>
      <c r="D51">
        <f t="shared" si="4"/>
        <v>4</v>
      </c>
      <c r="E51" t="str">
        <f t="shared" si="28"/>
        <v>474</v>
      </c>
      <c r="F51" t="str">
        <f t="shared" si="29"/>
        <v>474</v>
      </c>
      <c r="G51">
        <f t="shared" si="30"/>
        <v>6</v>
      </c>
      <c r="H51" t="s">
        <v>318</v>
      </c>
      <c r="I51" t="str">
        <f t="shared" si="7"/>
        <v/>
      </c>
      <c r="J51" t="str">
        <f t="shared" si="8"/>
        <v/>
      </c>
      <c r="K51">
        <f t="shared" si="9"/>
        <v>22</v>
      </c>
      <c r="L51" t="str">
        <f t="shared" si="22"/>
        <v>|1,People In The News [474]</v>
      </c>
      <c r="N51" t="str">
        <f t="shared" si="31"/>
        <v>Pe</v>
      </c>
      <c r="O51">
        <f t="shared" si="32"/>
        <v>1</v>
      </c>
      <c r="P51" t="str">
        <f t="shared" si="23"/>
        <v>Cu/Pe</v>
      </c>
      <c r="Q51" s="1" t="str">
        <f t="shared" si="24"/>
        <v>People In The News [474]</v>
      </c>
      <c r="R51" s="2" t="str">
        <f t="shared" si="14"/>
        <v>&lt;li&gt;&lt;input type='checkbox'class= 'ckbx' name='474'value='Cu/Pe'&gt; _ _ People In The News [474]&lt;/li&gt;</v>
      </c>
      <c r="T51" t="str">
        <f t="shared" si="21"/>
        <v>&amp;nbsp;&amp;nbsp;</v>
      </c>
      <c r="U51" t="str">
        <f t="shared" si="15"/>
        <v xml:space="preserve"> _ _ </v>
      </c>
      <c r="V51" s="1" t="s">
        <v>40</v>
      </c>
      <c r="W51" t="str">
        <f t="shared" si="35"/>
        <v>People In The News [474]</v>
      </c>
      <c r="X51" t="str">
        <f t="shared" si="17"/>
        <v>Pe</v>
      </c>
      <c r="Y51">
        <f t="shared" si="18"/>
        <v>24</v>
      </c>
      <c r="Z51">
        <f t="shared" si="36"/>
        <v>25</v>
      </c>
      <c r="AA51">
        <f t="shared" si="34"/>
        <v>1</v>
      </c>
    </row>
    <row r="52" spans="1:27" x14ac:dyDescent="0.25">
      <c r="A52">
        <f t="shared" si="25"/>
        <v>21</v>
      </c>
      <c r="B52">
        <f t="shared" si="26"/>
        <v>24</v>
      </c>
      <c r="C52" t="str">
        <f t="shared" si="27"/>
        <v>82]</v>
      </c>
      <c r="D52">
        <f t="shared" si="4"/>
        <v>3</v>
      </c>
      <c r="E52" t="str">
        <f t="shared" si="28"/>
        <v>82</v>
      </c>
      <c r="F52" t="str">
        <f t="shared" si="29"/>
        <v>82</v>
      </c>
      <c r="G52">
        <f t="shared" si="30"/>
        <v>6</v>
      </c>
      <c r="H52" t="s">
        <v>319</v>
      </c>
      <c r="I52" t="str">
        <f t="shared" si="7"/>
        <v/>
      </c>
      <c r="J52" t="str">
        <f t="shared" si="8"/>
        <v/>
      </c>
      <c r="K52">
        <f t="shared" si="9"/>
        <v>22</v>
      </c>
      <c r="L52" t="str">
        <f t="shared" si="22"/>
        <v>|1,Places in the News [82]</v>
      </c>
      <c r="N52" t="str">
        <f t="shared" si="31"/>
        <v>Pl</v>
      </c>
      <c r="O52">
        <f t="shared" si="32"/>
        <v>1</v>
      </c>
      <c r="P52" t="str">
        <f t="shared" si="23"/>
        <v>Cu/Pl</v>
      </c>
      <c r="Q52" s="1" t="str">
        <f t="shared" si="24"/>
        <v>Places in the News [82]</v>
      </c>
      <c r="R52" s="2" t="str">
        <f t="shared" si="14"/>
        <v>&lt;li&gt;&lt;input type='checkbox'class= 'ckbx' name='82'value='Cu/Pl'&gt; _ _ Places in the News [82]&lt;/li&gt;</v>
      </c>
      <c r="T52" t="str">
        <f t="shared" si="21"/>
        <v>&amp;nbsp;&amp;nbsp;</v>
      </c>
      <c r="U52" t="str">
        <f t="shared" si="15"/>
        <v xml:space="preserve"> _ _ </v>
      </c>
      <c r="V52" s="1" t="s">
        <v>41</v>
      </c>
      <c r="W52" t="str">
        <f t="shared" si="35"/>
        <v>Places in the News [82]</v>
      </c>
      <c r="X52" t="str">
        <f t="shared" si="17"/>
        <v>Pl</v>
      </c>
      <c r="Y52">
        <f t="shared" si="18"/>
        <v>23</v>
      </c>
      <c r="Z52">
        <f t="shared" si="36"/>
        <v>24</v>
      </c>
      <c r="AA52">
        <f t="shared" si="34"/>
        <v>1</v>
      </c>
    </row>
    <row r="53" spans="1:27" x14ac:dyDescent="0.25">
      <c r="A53">
        <f t="shared" si="25"/>
        <v>11</v>
      </c>
      <c r="B53">
        <f t="shared" si="26"/>
        <v>13</v>
      </c>
      <c r="C53" t="str">
        <f t="shared" si="27"/>
        <v>4]</v>
      </c>
      <c r="D53">
        <f t="shared" si="4"/>
        <v>2</v>
      </c>
      <c r="E53" t="str">
        <f t="shared" si="28"/>
        <v>4</v>
      </c>
      <c r="F53" t="str">
        <f t="shared" si="29"/>
        <v>4</v>
      </c>
      <c r="G53">
        <f t="shared" si="30"/>
        <v>6</v>
      </c>
      <c r="H53" t="s">
        <v>320</v>
      </c>
      <c r="I53" t="str">
        <f t="shared" si="7"/>
        <v/>
      </c>
      <c r="J53" t="str">
        <f t="shared" si="8"/>
        <v/>
      </c>
      <c r="K53">
        <f t="shared" si="9"/>
        <v>22</v>
      </c>
      <c r="L53" t="str">
        <f t="shared" si="22"/>
        <v>|1,Scandals [4]</v>
      </c>
      <c r="N53" t="str">
        <f t="shared" si="31"/>
        <v>Sc</v>
      </c>
      <c r="O53">
        <f t="shared" si="32"/>
        <v>1</v>
      </c>
      <c r="P53" t="str">
        <f t="shared" si="23"/>
        <v>Cu/Sc</v>
      </c>
      <c r="Q53" s="1" t="str">
        <f t="shared" si="24"/>
        <v>Scandals [4]</v>
      </c>
      <c r="R53" s="2" t="str">
        <f t="shared" si="14"/>
        <v>&lt;li&gt;&lt;input type='checkbox'class= 'ckbx' name='4'value='Cu/Sc'&gt; _ _ Scandals [4]&lt;/li&gt;</v>
      </c>
      <c r="T53" t="str">
        <f t="shared" si="21"/>
        <v>&amp;nbsp;&amp;nbsp;</v>
      </c>
      <c r="U53" t="str">
        <f t="shared" si="15"/>
        <v xml:space="preserve"> _ _ </v>
      </c>
      <c r="V53" s="1" t="s">
        <v>42</v>
      </c>
      <c r="W53" t="str">
        <f t="shared" si="35"/>
        <v>Scandals [4]</v>
      </c>
      <c r="X53" t="str">
        <f t="shared" si="17"/>
        <v>Sc</v>
      </c>
      <c r="Y53">
        <f t="shared" si="18"/>
        <v>12</v>
      </c>
      <c r="Z53">
        <f t="shared" si="36"/>
        <v>13</v>
      </c>
      <c r="AA53">
        <f t="shared" si="34"/>
        <v>1</v>
      </c>
    </row>
    <row r="54" spans="1:27" x14ac:dyDescent="0.25">
      <c r="A54">
        <f t="shared" si="25"/>
        <v>11</v>
      </c>
      <c r="B54">
        <f t="shared" si="26"/>
        <v>15</v>
      </c>
      <c r="C54" t="str">
        <f t="shared" si="27"/>
        <v>132]</v>
      </c>
      <c r="D54">
        <f t="shared" si="4"/>
        <v>4</v>
      </c>
      <c r="E54" t="str">
        <f t="shared" si="28"/>
        <v>132</v>
      </c>
      <c r="F54" t="str">
        <f t="shared" si="29"/>
        <v>132</v>
      </c>
      <c r="G54">
        <f t="shared" si="30"/>
        <v>3</v>
      </c>
      <c r="H54" t="s">
        <v>277</v>
      </c>
      <c r="I54" t="str">
        <f t="shared" si="7"/>
        <v>&lt;b&gt;</v>
      </c>
      <c r="J54" t="str">
        <f t="shared" si="8"/>
        <v>&lt;/b&gt;</v>
      </c>
      <c r="K54">
        <f t="shared" si="9"/>
        <v>24</v>
      </c>
      <c r="L54" t="str">
        <f t="shared" si="22"/>
        <v>|0,Disasters [132]</v>
      </c>
      <c r="N54" t="str">
        <f t="shared" si="31"/>
        <v>Di</v>
      </c>
      <c r="O54">
        <f t="shared" si="32"/>
        <v>0</v>
      </c>
      <c r="P54" t="str">
        <f t="shared" si="23"/>
        <v>Di</v>
      </c>
      <c r="Q54" s="1" t="str">
        <f t="shared" si="24"/>
        <v>Disasters [132]</v>
      </c>
      <c r="R54" s="2" t="str">
        <f t="shared" si="14"/>
        <v>&lt;li&gt;&lt;input type='checkbox'class= 'ckbx' name='132'value='Di'&gt;&lt;b&gt;Disasters [132]&lt;/b&gt;&lt;/li&gt;</v>
      </c>
      <c r="T54" t="str">
        <f t="shared" si="21"/>
        <v/>
      </c>
      <c r="U54" t="str">
        <f t="shared" si="15"/>
        <v/>
      </c>
      <c r="V54" s="1" t="s">
        <v>43</v>
      </c>
      <c r="W54" t="str">
        <f t="shared" si="35"/>
        <v>Disasters [132]</v>
      </c>
      <c r="X54" t="str">
        <f t="shared" si="17"/>
        <v>Di</v>
      </c>
      <c r="Y54">
        <f t="shared" si="18"/>
        <v>15</v>
      </c>
      <c r="Z54">
        <f t="shared" si="36"/>
        <v>15</v>
      </c>
      <c r="AA54">
        <f t="shared" si="34"/>
        <v>0</v>
      </c>
    </row>
    <row r="55" spans="1:27" x14ac:dyDescent="0.25">
      <c r="A55">
        <f t="shared" si="25"/>
        <v>18</v>
      </c>
      <c r="B55">
        <f t="shared" si="26"/>
        <v>20</v>
      </c>
      <c r="C55" t="str">
        <f t="shared" si="27"/>
        <v>6]</v>
      </c>
      <c r="D55">
        <f t="shared" si="4"/>
        <v>2</v>
      </c>
      <c r="E55" t="str">
        <f t="shared" si="28"/>
        <v>6</v>
      </c>
      <c r="F55" t="str">
        <f t="shared" si="29"/>
        <v>6</v>
      </c>
      <c r="G55">
        <f t="shared" si="30"/>
        <v>3</v>
      </c>
      <c r="H55" t="s">
        <v>278</v>
      </c>
      <c r="I55" t="str">
        <f t="shared" si="7"/>
        <v>&lt;b&gt;</v>
      </c>
      <c r="J55" t="str">
        <f t="shared" si="8"/>
        <v>&lt;/b&gt;</v>
      </c>
      <c r="K55">
        <f t="shared" si="9"/>
        <v>24</v>
      </c>
      <c r="L55" t="str">
        <f t="shared" si="22"/>
        <v>|0,Every Day Living [6]</v>
      </c>
      <c r="N55" t="str">
        <f t="shared" si="31"/>
        <v>Ev</v>
      </c>
      <c r="O55">
        <f t="shared" si="32"/>
        <v>0</v>
      </c>
      <c r="P55" t="str">
        <f t="shared" si="23"/>
        <v>Ev</v>
      </c>
      <c r="Q55" s="1" t="str">
        <f t="shared" si="24"/>
        <v>Every Day Living [6]</v>
      </c>
      <c r="R55" s="2" t="str">
        <f t="shared" si="14"/>
        <v>&lt;li&gt;&lt;input type='checkbox'class= 'ckbx' name='6'value='Ev'&gt;&lt;b&gt;Every Day Living [6]&lt;/b&gt;&lt;/li&gt;</v>
      </c>
      <c r="T55" t="str">
        <f t="shared" si="21"/>
        <v/>
      </c>
      <c r="U55" t="str">
        <f t="shared" si="15"/>
        <v/>
      </c>
      <c r="V55" s="1" t="s">
        <v>44</v>
      </c>
      <c r="W55" t="str">
        <f t="shared" si="35"/>
        <v>Every Day Living [6]</v>
      </c>
      <c r="X55" t="str">
        <f t="shared" si="17"/>
        <v>Ev</v>
      </c>
      <c r="Y55">
        <f t="shared" si="18"/>
        <v>20</v>
      </c>
      <c r="Z55">
        <f t="shared" si="36"/>
        <v>20</v>
      </c>
      <c r="AA55">
        <f t="shared" si="34"/>
        <v>0</v>
      </c>
    </row>
    <row r="56" spans="1:27" x14ac:dyDescent="0.25">
      <c r="A56">
        <f t="shared" si="25"/>
        <v>10</v>
      </c>
      <c r="B56">
        <f t="shared" si="26"/>
        <v>12</v>
      </c>
      <c r="C56" t="str">
        <f t="shared" si="27"/>
        <v>1]</v>
      </c>
      <c r="D56">
        <f t="shared" si="4"/>
        <v>2</v>
      </c>
      <c r="E56" t="str">
        <f t="shared" si="28"/>
        <v>1</v>
      </c>
      <c r="F56" t="str">
        <f t="shared" si="29"/>
        <v>1</v>
      </c>
      <c r="G56">
        <f t="shared" si="30"/>
        <v>6</v>
      </c>
      <c r="H56" t="s">
        <v>321</v>
      </c>
      <c r="I56" t="str">
        <f t="shared" si="7"/>
        <v/>
      </c>
      <c r="J56" t="str">
        <f t="shared" si="8"/>
        <v/>
      </c>
      <c r="K56">
        <f t="shared" si="9"/>
        <v>22</v>
      </c>
      <c r="L56" t="str">
        <f t="shared" si="22"/>
        <v>|1,Cooking [1]</v>
      </c>
      <c r="N56" t="str">
        <f t="shared" si="31"/>
        <v>Co</v>
      </c>
      <c r="O56">
        <f t="shared" si="32"/>
        <v>1</v>
      </c>
      <c r="P56" t="str">
        <f t="shared" si="23"/>
        <v>Ev/Co</v>
      </c>
      <c r="Q56" s="1" t="str">
        <f t="shared" si="24"/>
        <v>Cooking [1]</v>
      </c>
      <c r="R56" s="2" t="str">
        <f t="shared" si="14"/>
        <v>&lt;li&gt;&lt;input type='checkbox'class= 'ckbx' name='1'value='Ev/Co'&gt; _ _ Cooking [1]&lt;/li&gt;</v>
      </c>
      <c r="T56" t="str">
        <f t="shared" si="21"/>
        <v>&amp;nbsp;&amp;nbsp;</v>
      </c>
      <c r="U56" t="str">
        <f t="shared" si="15"/>
        <v xml:space="preserve"> _ _ </v>
      </c>
      <c r="V56" s="1" t="s">
        <v>45</v>
      </c>
      <c r="W56" t="str">
        <f t="shared" si="35"/>
        <v>Cooking [1]</v>
      </c>
      <c r="X56" t="str">
        <f t="shared" si="17"/>
        <v>Co</v>
      </c>
      <c r="Y56">
        <f t="shared" si="18"/>
        <v>11</v>
      </c>
      <c r="Z56">
        <f t="shared" si="36"/>
        <v>12</v>
      </c>
      <c r="AA56">
        <f t="shared" si="34"/>
        <v>1</v>
      </c>
    </row>
    <row r="57" spans="1:27" x14ac:dyDescent="0.25">
      <c r="A57">
        <f t="shared" si="25"/>
        <v>11</v>
      </c>
      <c r="B57">
        <f t="shared" si="26"/>
        <v>15</v>
      </c>
      <c r="C57" t="str">
        <f t="shared" si="27"/>
        <v>212]</v>
      </c>
      <c r="D57">
        <f t="shared" si="4"/>
        <v>4</v>
      </c>
      <c r="E57" t="str">
        <f t="shared" si="28"/>
        <v>212</v>
      </c>
      <c r="F57" t="str">
        <f t="shared" si="29"/>
        <v>212</v>
      </c>
      <c r="G57">
        <f t="shared" si="30"/>
        <v>6</v>
      </c>
      <c r="H57" t="s">
        <v>322</v>
      </c>
      <c r="I57" t="str">
        <f t="shared" si="7"/>
        <v/>
      </c>
      <c r="J57" t="str">
        <f t="shared" si="8"/>
        <v/>
      </c>
      <c r="K57">
        <f t="shared" si="9"/>
        <v>22</v>
      </c>
      <c r="L57" t="str">
        <f t="shared" si="22"/>
        <v>|1,Currency [212]</v>
      </c>
      <c r="N57" t="str">
        <f t="shared" si="31"/>
        <v>Cu</v>
      </c>
      <c r="O57">
        <f t="shared" si="32"/>
        <v>1</v>
      </c>
      <c r="P57" t="str">
        <f t="shared" si="23"/>
        <v>Ev/Cu</v>
      </c>
      <c r="Q57" s="1" t="str">
        <f t="shared" si="24"/>
        <v>Currency [212]</v>
      </c>
      <c r="R57" s="2" t="str">
        <f t="shared" si="14"/>
        <v>&lt;li&gt;&lt;input type='checkbox'class= 'ckbx' name='212'value='Ev/Cu'&gt; _ _ Currency [212]&lt;/li&gt;</v>
      </c>
      <c r="T57" t="str">
        <f t="shared" si="21"/>
        <v>&amp;nbsp;&amp;nbsp;</v>
      </c>
      <c r="U57" t="str">
        <f t="shared" si="15"/>
        <v xml:space="preserve"> _ _ </v>
      </c>
      <c r="V57" s="1" t="s">
        <v>46</v>
      </c>
      <c r="W57" t="str">
        <f t="shared" si="35"/>
        <v>Currency [212]</v>
      </c>
      <c r="X57" t="str">
        <f t="shared" si="17"/>
        <v>Cu</v>
      </c>
      <c r="Y57">
        <f t="shared" si="18"/>
        <v>14</v>
      </c>
      <c r="Z57">
        <f t="shared" si="36"/>
        <v>15</v>
      </c>
      <c r="AA57">
        <f t="shared" si="34"/>
        <v>1</v>
      </c>
    </row>
    <row r="58" spans="1:27" x14ac:dyDescent="0.25">
      <c r="A58">
        <f t="shared" si="25"/>
        <v>8</v>
      </c>
      <c r="B58">
        <f t="shared" si="26"/>
        <v>11</v>
      </c>
      <c r="C58" t="str">
        <f t="shared" si="27"/>
        <v>14]</v>
      </c>
      <c r="D58">
        <f t="shared" si="4"/>
        <v>3</v>
      </c>
      <c r="E58" t="str">
        <f t="shared" si="28"/>
        <v>14</v>
      </c>
      <c r="F58" t="str">
        <f t="shared" si="29"/>
        <v>14</v>
      </c>
      <c r="G58">
        <f t="shared" si="30"/>
        <v>6</v>
      </c>
      <c r="H58" t="s">
        <v>323</v>
      </c>
      <c r="I58" t="str">
        <f t="shared" si="7"/>
        <v/>
      </c>
      <c r="J58" t="str">
        <f t="shared" si="8"/>
        <v/>
      </c>
      <c r="K58">
        <f t="shared" si="9"/>
        <v>22</v>
      </c>
      <c r="L58" t="str">
        <f t="shared" si="22"/>
        <v>|1,Dress [14]</v>
      </c>
      <c r="N58" t="str">
        <f t="shared" si="31"/>
        <v>Dr</v>
      </c>
      <c r="O58">
        <f t="shared" si="32"/>
        <v>1</v>
      </c>
      <c r="P58" t="str">
        <f t="shared" si="23"/>
        <v>Ev/Dr</v>
      </c>
      <c r="Q58" s="1" t="str">
        <f t="shared" si="24"/>
        <v>Dress [14]</v>
      </c>
      <c r="R58" s="2" t="str">
        <f t="shared" si="14"/>
        <v>&lt;li&gt;&lt;input type='checkbox'class= 'ckbx' name='14'value='Ev/Dr'&gt; _ _ Dress [14]&lt;/li&gt;</v>
      </c>
      <c r="T58" t="str">
        <f t="shared" si="21"/>
        <v>&amp;nbsp;&amp;nbsp;</v>
      </c>
      <c r="U58" t="str">
        <f t="shared" si="15"/>
        <v xml:space="preserve"> _ _ </v>
      </c>
      <c r="V58" s="1" t="s">
        <v>47</v>
      </c>
      <c r="W58" t="str">
        <f t="shared" si="35"/>
        <v>Dress [14]</v>
      </c>
      <c r="X58" t="str">
        <f t="shared" si="17"/>
        <v>Dr</v>
      </c>
      <c r="Y58">
        <f t="shared" si="18"/>
        <v>10</v>
      </c>
      <c r="Z58">
        <f t="shared" si="36"/>
        <v>11</v>
      </c>
      <c r="AA58">
        <f t="shared" si="34"/>
        <v>1</v>
      </c>
    </row>
    <row r="59" spans="1:27" x14ac:dyDescent="0.25">
      <c r="A59">
        <f t="shared" si="25"/>
        <v>20</v>
      </c>
      <c r="B59">
        <f t="shared" si="26"/>
        <v>23</v>
      </c>
      <c r="C59" t="str">
        <f t="shared" si="27"/>
        <v>98]</v>
      </c>
      <c r="D59">
        <f t="shared" si="4"/>
        <v>3</v>
      </c>
      <c r="E59" t="str">
        <f t="shared" si="28"/>
        <v>98</v>
      </c>
      <c r="F59" t="str">
        <f t="shared" si="29"/>
        <v>98</v>
      </c>
      <c r="G59">
        <f t="shared" si="30"/>
        <v>6</v>
      </c>
      <c r="H59" t="s">
        <v>324</v>
      </c>
      <c r="I59" t="str">
        <f t="shared" si="7"/>
        <v/>
      </c>
      <c r="J59" t="str">
        <f t="shared" si="8"/>
        <v/>
      </c>
      <c r="K59">
        <f t="shared" si="9"/>
        <v>22</v>
      </c>
      <c r="L59" t="str">
        <f t="shared" si="22"/>
        <v>|1,Facts And Figures [98]</v>
      </c>
      <c r="N59" t="str">
        <f t="shared" si="31"/>
        <v>Fa</v>
      </c>
      <c r="O59">
        <f t="shared" si="32"/>
        <v>1</v>
      </c>
      <c r="P59" t="str">
        <f t="shared" si="23"/>
        <v>Ev/Fa</v>
      </c>
      <c r="Q59" s="1" t="str">
        <f t="shared" si="24"/>
        <v>Facts And Figures [98]</v>
      </c>
      <c r="R59" s="2" t="str">
        <f t="shared" si="14"/>
        <v>&lt;li&gt;&lt;input type='checkbox'class= 'ckbx' name='98'value='Ev/Fa'&gt; _ _ Facts And Figures [98]&lt;/li&gt;</v>
      </c>
      <c r="T59" t="str">
        <f t="shared" si="21"/>
        <v>&amp;nbsp;&amp;nbsp;</v>
      </c>
      <c r="U59" t="str">
        <f t="shared" si="15"/>
        <v xml:space="preserve"> _ _ </v>
      </c>
      <c r="V59" s="1" t="s">
        <v>48</v>
      </c>
      <c r="W59" t="str">
        <f t="shared" si="35"/>
        <v>Facts And Figures [98]</v>
      </c>
      <c r="X59" t="str">
        <f t="shared" si="17"/>
        <v>Fa</v>
      </c>
      <c r="Y59">
        <f t="shared" si="18"/>
        <v>22</v>
      </c>
      <c r="Z59">
        <f t="shared" si="36"/>
        <v>23</v>
      </c>
      <c r="AA59">
        <f t="shared" si="34"/>
        <v>1</v>
      </c>
    </row>
    <row r="60" spans="1:27" x14ac:dyDescent="0.25">
      <c r="A60">
        <f t="shared" si="25"/>
        <v>11</v>
      </c>
      <c r="B60">
        <f t="shared" si="26"/>
        <v>14</v>
      </c>
      <c r="C60" t="str">
        <f t="shared" si="27"/>
        <v>46]</v>
      </c>
      <c r="D60">
        <f t="shared" si="4"/>
        <v>3</v>
      </c>
      <c r="E60" t="str">
        <f t="shared" si="28"/>
        <v>46</v>
      </c>
      <c r="F60" t="str">
        <f t="shared" si="29"/>
        <v>46</v>
      </c>
      <c r="G60">
        <f t="shared" si="30"/>
        <v>6</v>
      </c>
      <c r="H60" t="s">
        <v>325</v>
      </c>
      <c r="I60" t="str">
        <f t="shared" si="7"/>
        <v/>
      </c>
      <c r="J60" t="str">
        <f t="shared" si="8"/>
        <v/>
      </c>
      <c r="K60">
        <f t="shared" si="9"/>
        <v>22</v>
      </c>
      <c r="L60" t="str">
        <f t="shared" si="22"/>
        <v>|1,Finances [46]</v>
      </c>
      <c r="N60" t="str">
        <f t="shared" si="31"/>
        <v>Fi</v>
      </c>
      <c r="O60">
        <f t="shared" si="32"/>
        <v>1</v>
      </c>
      <c r="P60" t="str">
        <f t="shared" si="23"/>
        <v>Ev/Fi</v>
      </c>
      <c r="Q60" s="1" t="str">
        <f t="shared" si="24"/>
        <v>Finances [46]</v>
      </c>
      <c r="R60" s="2" t="str">
        <f t="shared" si="14"/>
        <v>&lt;li&gt;&lt;input type='checkbox'class= 'ckbx' name='46'value='Ev/Fi'&gt; _ _ Finances [46]&lt;/li&gt;</v>
      </c>
      <c r="T60" t="str">
        <f t="shared" si="21"/>
        <v>&amp;nbsp;&amp;nbsp;</v>
      </c>
      <c r="U60" t="str">
        <f t="shared" si="15"/>
        <v xml:space="preserve"> _ _ </v>
      </c>
      <c r="V60" s="1" t="s">
        <v>49</v>
      </c>
      <c r="W60" t="str">
        <f t="shared" si="35"/>
        <v>Finances [46]</v>
      </c>
      <c r="X60" t="str">
        <f t="shared" si="17"/>
        <v>Fi</v>
      </c>
      <c r="Y60">
        <f t="shared" si="18"/>
        <v>13</v>
      </c>
      <c r="Z60">
        <f t="shared" si="36"/>
        <v>14</v>
      </c>
      <c r="AA60">
        <f t="shared" si="34"/>
        <v>1</v>
      </c>
    </row>
    <row r="61" spans="1:27" x14ac:dyDescent="0.25">
      <c r="A61">
        <f t="shared" si="25"/>
        <v>10</v>
      </c>
      <c r="B61">
        <f t="shared" si="26"/>
        <v>13</v>
      </c>
      <c r="C61" t="str">
        <f t="shared" si="27"/>
        <v>14]</v>
      </c>
      <c r="D61">
        <f t="shared" si="4"/>
        <v>3</v>
      </c>
      <c r="E61" t="str">
        <f t="shared" si="28"/>
        <v>14</v>
      </c>
      <c r="F61" t="str">
        <f t="shared" si="29"/>
        <v>14</v>
      </c>
      <c r="G61">
        <f t="shared" si="30"/>
        <v>9</v>
      </c>
      <c r="H61" t="s">
        <v>326</v>
      </c>
      <c r="I61" t="str">
        <f t="shared" si="7"/>
        <v/>
      </c>
      <c r="J61" t="str">
        <f t="shared" si="8"/>
        <v/>
      </c>
      <c r="K61">
        <f t="shared" si="9"/>
        <v>20</v>
      </c>
      <c r="L61" t="str">
        <f t="shared" si="22"/>
        <v>|2,Salary [14]</v>
      </c>
      <c r="N61" t="str">
        <f t="shared" si="31"/>
        <v>Sa</v>
      </c>
      <c r="O61">
        <f t="shared" si="32"/>
        <v>2</v>
      </c>
      <c r="P61" t="str">
        <f t="shared" si="23"/>
        <v>Ev/Fi/Sa</v>
      </c>
      <c r="Q61" s="1" t="str">
        <f t="shared" si="24"/>
        <v>Salary [14]</v>
      </c>
      <c r="R61" s="2" t="str">
        <f t="shared" si="14"/>
        <v>&lt;li&gt;&lt;input type='checkbox'class= 'ckbx' name='14'value='Ev/Fi/Sa'&gt; _ _ _ _Salary [14]&lt;/li&gt;</v>
      </c>
      <c r="T61" t="str">
        <f t="shared" si="21"/>
        <v>&amp;nbsp;&amp;nbsp;&amp;nbsp;&amp;nbsp;</v>
      </c>
      <c r="U61" t="str">
        <f t="shared" si="15"/>
        <v xml:space="preserve"> _ _ _ _</v>
      </c>
      <c r="V61" s="1" t="s">
        <v>50</v>
      </c>
      <c r="W61" t="str">
        <f t="shared" si="35"/>
        <v>Salary [14]</v>
      </c>
      <c r="X61" t="str">
        <f t="shared" si="17"/>
        <v>Sa</v>
      </c>
      <c r="Y61">
        <f t="shared" si="18"/>
        <v>11</v>
      </c>
      <c r="Z61">
        <f t="shared" si="36"/>
        <v>13</v>
      </c>
      <c r="AA61">
        <f t="shared" si="34"/>
        <v>2</v>
      </c>
    </row>
    <row r="62" spans="1:27" x14ac:dyDescent="0.25">
      <c r="A62" t="e">
        <f t="shared" si="25"/>
        <v>#VALUE!</v>
      </c>
      <c r="B62" t="e">
        <f t="shared" si="26"/>
        <v>#VALUE!</v>
      </c>
      <c r="C62" t="e">
        <f t="shared" si="27"/>
        <v>#VALUE!</v>
      </c>
      <c r="D62" t="e">
        <f t="shared" si="4"/>
        <v>#VALUE!</v>
      </c>
      <c r="E62" t="e">
        <f t="shared" si="28"/>
        <v>#VALUE!</v>
      </c>
      <c r="F62">
        <f t="shared" si="29"/>
        <v>0</v>
      </c>
      <c r="G62">
        <f t="shared" si="30"/>
        <v>6</v>
      </c>
      <c r="H62" t="s">
        <v>327</v>
      </c>
      <c r="I62" t="str">
        <f t="shared" si="7"/>
        <v/>
      </c>
      <c r="J62" t="str">
        <f t="shared" si="8"/>
        <v/>
      </c>
      <c r="K62">
        <f t="shared" si="9"/>
        <v>22</v>
      </c>
      <c r="L62" t="str">
        <f t="shared" si="22"/>
        <v>|1,Government</v>
      </c>
      <c r="N62" t="str">
        <f t="shared" si="31"/>
        <v>Go</v>
      </c>
      <c r="O62">
        <f t="shared" si="32"/>
        <v>1</v>
      </c>
      <c r="P62" t="str">
        <f t="shared" si="23"/>
        <v>Ev/Go</v>
      </c>
      <c r="Q62" s="1" t="str">
        <f t="shared" si="24"/>
        <v>Government</v>
      </c>
      <c r="R62" s="2" t="str">
        <f t="shared" si="14"/>
        <v>&lt;li&gt;&lt;input type='checkbox'class= 'ckbx' name='0'value='Ev/Go'&gt; _ _ Government&lt;/li&gt;</v>
      </c>
      <c r="T62" t="str">
        <f t="shared" si="21"/>
        <v>&amp;nbsp;&amp;nbsp;</v>
      </c>
      <c r="U62" t="str">
        <f t="shared" si="15"/>
        <v xml:space="preserve"> _ _ </v>
      </c>
      <c r="V62" s="1" t="s">
        <v>51</v>
      </c>
      <c r="W62" t="str">
        <f t="shared" si="35"/>
        <v>Government</v>
      </c>
      <c r="X62" t="str">
        <f t="shared" si="17"/>
        <v>Go</v>
      </c>
      <c r="Y62">
        <f t="shared" si="18"/>
        <v>10</v>
      </c>
      <c r="Z62">
        <f t="shared" si="36"/>
        <v>11</v>
      </c>
      <c r="AA62">
        <f t="shared" si="34"/>
        <v>1</v>
      </c>
    </row>
    <row r="63" spans="1:27" x14ac:dyDescent="0.25">
      <c r="A63">
        <f t="shared" si="25"/>
        <v>11</v>
      </c>
      <c r="B63">
        <f t="shared" si="26"/>
        <v>15</v>
      </c>
      <c r="C63" t="str">
        <f t="shared" si="27"/>
        <v>157]</v>
      </c>
      <c r="D63">
        <f t="shared" si="4"/>
        <v>4</v>
      </c>
      <c r="E63" t="str">
        <f t="shared" si="28"/>
        <v>157</v>
      </c>
      <c r="F63" t="str">
        <f t="shared" si="29"/>
        <v>157</v>
      </c>
      <c r="G63">
        <f t="shared" si="30"/>
        <v>9</v>
      </c>
      <c r="H63" t="s">
        <v>328</v>
      </c>
      <c r="I63" t="str">
        <f t="shared" si="7"/>
        <v/>
      </c>
      <c r="J63" t="str">
        <f t="shared" si="8"/>
        <v/>
      </c>
      <c r="K63">
        <f t="shared" si="9"/>
        <v>20</v>
      </c>
      <c r="L63" t="str">
        <f t="shared" si="22"/>
        <v>|2,Federal [157]</v>
      </c>
      <c r="N63" t="str">
        <f t="shared" si="31"/>
        <v>Fe</v>
      </c>
      <c r="O63">
        <f t="shared" si="32"/>
        <v>2</v>
      </c>
      <c r="P63" t="str">
        <f t="shared" si="23"/>
        <v>Ev/Go/Fe</v>
      </c>
      <c r="Q63" s="1" t="str">
        <f t="shared" si="24"/>
        <v>Federal [157]</v>
      </c>
      <c r="R63" s="2" t="str">
        <f t="shared" si="14"/>
        <v>&lt;li&gt;&lt;input type='checkbox'class= 'ckbx' name='157'value='Ev/Go/Fe'&gt; _ _ _ _Federal [157]&lt;/li&gt;</v>
      </c>
      <c r="T63" t="str">
        <f t="shared" si="21"/>
        <v>&amp;nbsp;&amp;nbsp;&amp;nbsp;&amp;nbsp;</v>
      </c>
      <c r="U63" t="str">
        <f t="shared" si="15"/>
        <v xml:space="preserve"> _ _ _ _</v>
      </c>
      <c r="V63" s="1" t="s">
        <v>52</v>
      </c>
      <c r="W63" t="str">
        <f t="shared" si="35"/>
        <v>Federal [157]</v>
      </c>
      <c r="X63" t="str">
        <f t="shared" si="17"/>
        <v>Fe</v>
      </c>
      <c r="Y63">
        <f t="shared" si="18"/>
        <v>13</v>
      </c>
      <c r="Z63">
        <f t="shared" si="36"/>
        <v>15</v>
      </c>
      <c r="AA63">
        <f t="shared" si="34"/>
        <v>2</v>
      </c>
    </row>
    <row r="64" spans="1:27" x14ac:dyDescent="0.25">
      <c r="A64">
        <f t="shared" si="25"/>
        <v>13</v>
      </c>
      <c r="B64">
        <f t="shared" si="26"/>
        <v>15</v>
      </c>
      <c r="C64" t="str">
        <f t="shared" si="27"/>
        <v>2]</v>
      </c>
      <c r="D64">
        <f t="shared" si="4"/>
        <v>2</v>
      </c>
      <c r="E64" t="str">
        <f t="shared" si="28"/>
        <v>2</v>
      </c>
      <c r="F64" t="str">
        <f t="shared" si="29"/>
        <v>2</v>
      </c>
      <c r="G64">
        <f t="shared" si="30"/>
        <v>12</v>
      </c>
      <c r="H64" t="s">
        <v>329</v>
      </c>
      <c r="I64" t="str">
        <f t="shared" si="7"/>
        <v/>
      </c>
      <c r="J64" t="str">
        <f t="shared" si="8"/>
        <v/>
      </c>
      <c r="K64">
        <f t="shared" si="9"/>
        <v>18</v>
      </c>
      <c r="L64" t="str">
        <f t="shared" si="22"/>
        <v>|3,Military [2]</v>
      </c>
      <c r="N64" t="str">
        <f t="shared" si="31"/>
        <v>Mi</v>
      </c>
      <c r="O64">
        <f t="shared" si="32"/>
        <v>3</v>
      </c>
      <c r="P64" t="str">
        <f t="shared" si="23"/>
        <v>Ev/Go/Fe/Mi</v>
      </c>
      <c r="Q64" s="1" t="str">
        <f t="shared" si="24"/>
        <v>Military [2]</v>
      </c>
      <c r="R64" s="2" t="str">
        <f t="shared" si="14"/>
        <v>&lt;li&gt;&lt;input type='checkbox'class= 'ckbx' name='2'value='Ev/Go/Fe/Mi'&gt; _ _ _ _ _ _;Military [2]&lt;/li&gt;</v>
      </c>
      <c r="T64" t="str">
        <f t="shared" si="21"/>
        <v>&amp;nbsp;&amp;nbsp;&amp;nbsp;&amp;nbsp;&amp;nbsp;&amp;nbsp;</v>
      </c>
      <c r="U64" t="str">
        <f t="shared" si="15"/>
        <v xml:space="preserve"> _ _ _ _ _ _;</v>
      </c>
      <c r="V64" s="1" t="s">
        <v>53</v>
      </c>
      <c r="W64" t="str">
        <f t="shared" si="35"/>
        <v>Military [2]</v>
      </c>
      <c r="X64" t="str">
        <f t="shared" si="17"/>
        <v>Mi</v>
      </c>
      <c r="Y64">
        <f t="shared" si="18"/>
        <v>12</v>
      </c>
      <c r="Z64">
        <f t="shared" si="36"/>
        <v>15</v>
      </c>
      <c r="AA64">
        <f t="shared" si="34"/>
        <v>3</v>
      </c>
    </row>
    <row r="65" spans="1:27" x14ac:dyDescent="0.25">
      <c r="A65">
        <f t="shared" si="25"/>
        <v>19</v>
      </c>
      <c r="B65">
        <f t="shared" si="26"/>
        <v>21</v>
      </c>
      <c r="C65" t="str">
        <f t="shared" si="27"/>
        <v>1]</v>
      </c>
      <c r="D65">
        <f t="shared" si="4"/>
        <v>2</v>
      </c>
      <c r="E65" t="str">
        <f t="shared" si="28"/>
        <v>1</v>
      </c>
      <c r="F65" t="str">
        <f t="shared" si="29"/>
        <v>1</v>
      </c>
      <c r="G65">
        <f t="shared" si="30"/>
        <v>6</v>
      </c>
      <c r="H65" t="s">
        <v>330</v>
      </c>
      <c r="I65" t="str">
        <f t="shared" si="7"/>
        <v/>
      </c>
      <c r="J65" t="str">
        <f t="shared" si="8"/>
        <v/>
      </c>
      <c r="K65">
        <f t="shared" si="9"/>
        <v>22</v>
      </c>
      <c r="L65" t="str">
        <f t="shared" si="22"/>
        <v>|1,Health &amp; Fitness [1]</v>
      </c>
      <c r="N65" t="str">
        <f t="shared" si="31"/>
        <v>He</v>
      </c>
      <c r="O65">
        <f t="shared" si="32"/>
        <v>1</v>
      </c>
      <c r="P65" t="str">
        <f t="shared" si="23"/>
        <v>Ev/He</v>
      </c>
      <c r="Q65" s="1" t="str">
        <f t="shared" si="24"/>
        <v>Health &amp; Fitness [1]</v>
      </c>
      <c r="R65" s="2" t="str">
        <f t="shared" si="14"/>
        <v>&lt;li&gt;&lt;input type='checkbox'class= 'ckbx' name='1'value='Ev/He'&gt; _ _ Health &amp; Fitness [1]&lt;/li&gt;</v>
      </c>
      <c r="T65" t="str">
        <f t="shared" si="21"/>
        <v>&amp;nbsp;&amp;nbsp;</v>
      </c>
      <c r="U65" t="str">
        <f t="shared" si="15"/>
        <v xml:space="preserve"> _ _ </v>
      </c>
      <c r="V65" s="1" t="s">
        <v>54</v>
      </c>
      <c r="W65" t="str">
        <f t="shared" si="35"/>
        <v>Health &amp; Fitness [1]</v>
      </c>
      <c r="X65" t="str">
        <f t="shared" si="17"/>
        <v>He</v>
      </c>
      <c r="Y65">
        <f t="shared" si="18"/>
        <v>20</v>
      </c>
      <c r="Z65">
        <f t="shared" si="36"/>
        <v>21</v>
      </c>
      <c r="AA65">
        <f t="shared" si="34"/>
        <v>1</v>
      </c>
    </row>
    <row r="66" spans="1:27" x14ac:dyDescent="0.25">
      <c r="A66">
        <f t="shared" si="25"/>
        <v>24</v>
      </c>
      <c r="B66">
        <f t="shared" si="26"/>
        <v>26</v>
      </c>
      <c r="C66" t="str">
        <f t="shared" si="27"/>
        <v>1]</v>
      </c>
      <c r="D66">
        <f t="shared" si="4"/>
        <v>2</v>
      </c>
      <c r="E66" t="str">
        <f t="shared" si="28"/>
        <v>1</v>
      </c>
      <c r="F66" t="str">
        <f t="shared" si="29"/>
        <v>1</v>
      </c>
      <c r="G66">
        <f t="shared" si="30"/>
        <v>6</v>
      </c>
      <c r="H66" t="s">
        <v>331</v>
      </c>
      <c r="I66" t="str">
        <f t="shared" si="7"/>
        <v/>
      </c>
      <c r="J66" t="str">
        <f t="shared" si="8"/>
        <v/>
      </c>
      <c r="K66">
        <f t="shared" si="9"/>
        <v>22</v>
      </c>
      <c r="L66" t="str">
        <f t="shared" si="22"/>
        <v>|1,How We Spend Out Time [1]</v>
      </c>
      <c r="N66" t="str">
        <f t="shared" si="31"/>
        <v>Ho</v>
      </c>
      <c r="O66">
        <f t="shared" si="32"/>
        <v>1</v>
      </c>
      <c r="P66" t="str">
        <f t="shared" si="23"/>
        <v>Ev/Ho</v>
      </c>
      <c r="Q66" s="1" t="str">
        <f t="shared" si="24"/>
        <v>How We Spend Out Time [1]</v>
      </c>
      <c r="R66" s="2" t="str">
        <f t="shared" si="14"/>
        <v>&lt;li&gt;&lt;input type='checkbox'class= 'ckbx' name='1'value='Ev/Ho'&gt; _ _ How We Spend Out Time [1]&lt;/li&gt;</v>
      </c>
      <c r="T66" t="str">
        <f t="shared" si="21"/>
        <v>&amp;nbsp;&amp;nbsp;</v>
      </c>
      <c r="U66" t="str">
        <f t="shared" si="15"/>
        <v xml:space="preserve"> _ _ </v>
      </c>
      <c r="V66" s="1" t="s">
        <v>55</v>
      </c>
      <c r="W66" t="str">
        <f t="shared" si="35"/>
        <v>How We Spend Out Time [1]</v>
      </c>
      <c r="X66" t="str">
        <f t="shared" si="17"/>
        <v>Ho</v>
      </c>
      <c r="Y66">
        <f t="shared" si="18"/>
        <v>25</v>
      </c>
      <c r="Z66">
        <f t="shared" si="36"/>
        <v>26</v>
      </c>
      <c r="AA66">
        <f t="shared" si="34"/>
        <v>1</v>
      </c>
    </row>
    <row r="67" spans="1:27" x14ac:dyDescent="0.25">
      <c r="A67">
        <f t="shared" si="25"/>
        <v>12</v>
      </c>
      <c r="B67">
        <f t="shared" si="26"/>
        <v>14</v>
      </c>
      <c r="C67" t="str">
        <f t="shared" si="27"/>
        <v>1]</v>
      </c>
      <c r="D67">
        <f t="shared" si="4"/>
        <v>2</v>
      </c>
      <c r="E67" t="str">
        <f t="shared" si="28"/>
        <v>1</v>
      </c>
      <c r="F67" t="str">
        <f t="shared" si="29"/>
        <v>1</v>
      </c>
      <c r="G67">
        <f t="shared" si="30"/>
        <v>9</v>
      </c>
      <c r="H67" t="s">
        <v>332</v>
      </c>
      <c r="I67" t="str">
        <f t="shared" si="7"/>
        <v/>
      </c>
      <c r="J67" t="str">
        <f t="shared" si="8"/>
        <v/>
      </c>
      <c r="K67">
        <f t="shared" si="9"/>
        <v>20</v>
      </c>
      <c r="L67" t="str">
        <f t="shared" si="22"/>
        <v>|2,Holidays [1]</v>
      </c>
      <c r="N67" t="str">
        <f t="shared" si="31"/>
        <v>Ho</v>
      </c>
      <c r="O67">
        <f t="shared" si="32"/>
        <v>2</v>
      </c>
      <c r="P67" t="str">
        <f t="shared" si="23"/>
        <v>Ev/Ho/Ho</v>
      </c>
      <c r="Q67" s="1" t="str">
        <f t="shared" si="24"/>
        <v>Holidays [1]</v>
      </c>
      <c r="R67" s="2" t="str">
        <f t="shared" si="14"/>
        <v>&lt;li&gt;&lt;input type='checkbox'class= 'ckbx' name='1'value='Ev/Ho/Ho'&gt; _ _ _ _Holidays [1]&lt;/li&gt;</v>
      </c>
      <c r="T67" t="str">
        <f t="shared" si="21"/>
        <v>&amp;nbsp;&amp;nbsp;&amp;nbsp;&amp;nbsp;</v>
      </c>
      <c r="U67" t="str">
        <f t="shared" si="15"/>
        <v xml:space="preserve"> _ _ _ _</v>
      </c>
      <c r="V67" s="1" t="s">
        <v>56</v>
      </c>
      <c r="W67" t="str">
        <f t="shared" si="35"/>
        <v>Holidays [1]</v>
      </c>
      <c r="X67" t="str">
        <f t="shared" si="17"/>
        <v>Ho</v>
      </c>
      <c r="Y67">
        <f t="shared" si="18"/>
        <v>12</v>
      </c>
      <c r="Z67">
        <f t="shared" si="36"/>
        <v>14</v>
      </c>
      <c r="AA67">
        <f t="shared" si="34"/>
        <v>2</v>
      </c>
    </row>
    <row r="68" spans="1:27" x14ac:dyDescent="0.25">
      <c r="A68">
        <f t="shared" si="25"/>
        <v>20</v>
      </c>
      <c r="B68">
        <f t="shared" si="26"/>
        <v>23</v>
      </c>
      <c r="C68" t="str">
        <f t="shared" si="27"/>
        <v>10]</v>
      </c>
      <c r="D68">
        <f t="shared" si="4"/>
        <v>3</v>
      </c>
      <c r="E68" t="str">
        <f t="shared" si="28"/>
        <v>10</v>
      </c>
      <c r="F68" t="str">
        <f t="shared" si="29"/>
        <v>10</v>
      </c>
      <c r="G68">
        <f t="shared" si="30"/>
        <v>6</v>
      </c>
      <c r="H68" t="s">
        <v>333</v>
      </c>
      <c r="I68" t="str">
        <f t="shared" si="7"/>
        <v/>
      </c>
      <c r="J68" t="str">
        <f t="shared" si="8"/>
        <v/>
      </c>
      <c r="K68">
        <f t="shared" si="9"/>
        <v>22</v>
      </c>
      <c r="L68" t="str">
        <f t="shared" si="22"/>
        <v>|1,Interesting Facts [10]</v>
      </c>
      <c r="N68" t="str">
        <f t="shared" si="31"/>
        <v>In</v>
      </c>
      <c r="O68">
        <f t="shared" si="32"/>
        <v>1</v>
      </c>
      <c r="P68" t="str">
        <f t="shared" si="23"/>
        <v>Ev/In</v>
      </c>
      <c r="Q68" s="1" t="str">
        <f t="shared" si="24"/>
        <v>Interesting Facts [10]</v>
      </c>
      <c r="R68" s="2" t="str">
        <f t="shared" si="14"/>
        <v>&lt;li&gt;&lt;input type='checkbox'class= 'ckbx' name='10'value='Ev/In'&gt; _ _ Interesting Facts [10]&lt;/li&gt;</v>
      </c>
      <c r="T68" t="str">
        <f t="shared" si="21"/>
        <v>&amp;nbsp;&amp;nbsp;</v>
      </c>
      <c r="U68" t="str">
        <f t="shared" si="15"/>
        <v xml:space="preserve"> _ _ </v>
      </c>
      <c r="V68" s="1" t="s">
        <v>57</v>
      </c>
      <c r="W68" t="str">
        <f t="shared" si="35"/>
        <v>Interesting Facts [10]</v>
      </c>
      <c r="X68" t="str">
        <f t="shared" si="17"/>
        <v>In</v>
      </c>
      <c r="Y68">
        <f t="shared" si="18"/>
        <v>22</v>
      </c>
      <c r="Z68">
        <f t="shared" si="36"/>
        <v>23</v>
      </c>
      <c r="AA68">
        <f t="shared" si="34"/>
        <v>1</v>
      </c>
    </row>
    <row r="69" spans="1:27" x14ac:dyDescent="0.25">
      <c r="A69">
        <f t="shared" si="25"/>
        <v>15</v>
      </c>
      <c r="B69">
        <f t="shared" si="26"/>
        <v>17</v>
      </c>
      <c r="C69" t="str">
        <f t="shared" si="27"/>
        <v>4]</v>
      </c>
      <c r="D69">
        <f t="shared" si="4"/>
        <v>2</v>
      </c>
      <c r="E69" t="str">
        <f t="shared" si="28"/>
        <v>4</v>
      </c>
      <c r="F69" t="str">
        <f t="shared" si="29"/>
        <v>4</v>
      </c>
      <c r="G69">
        <f t="shared" si="30"/>
        <v>6</v>
      </c>
      <c r="H69" t="s">
        <v>334</v>
      </c>
      <c r="I69" t="str">
        <f t="shared" si="7"/>
        <v/>
      </c>
      <c r="J69" t="str">
        <f t="shared" si="8"/>
        <v/>
      </c>
      <c r="K69">
        <f t="shared" si="9"/>
        <v>22</v>
      </c>
      <c r="L69" t="str">
        <f t="shared" si="22"/>
        <v>|1,Leisure Time [4]</v>
      </c>
      <c r="N69" t="str">
        <f t="shared" si="31"/>
        <v>Le</v>
      </c>
      <c r="O69">
        <f t="shared" si="32"/>
        <v>1</v>
      </c>
      <c r="P69" t="str">
        <f t="shared" si="23"/>
        <v>Ev/Le</v>
      </c>
      <c r="Q69" s="1" t="str">
        <f t="shared" si="24"/>
        <v>Leisure Time [4]</v>
      </c>
      <c r="R69" s="2" t="str">
        <f t="shared" si="14"/>
        <v>&lt;li&gt;&lt;input type='checkbox'class= 'ckbx' name='4'value='Ev/Le'&gt; _ _ Leisure Time [4]&lt;/li&gt;</v>
      </c>
      <c r="T69" t="str">
        <f t="shared" si="21"/>
        <v>&amp;nbsp;&amp;nbsp;</v>
      </c>
      <c r="U69" t="str">
        <f t="shared" si="15"/>
        <v xml:space="preserve"> _ _ </v>
      </c>
      <c r="V69" s="1" t="s">
        <v>58</v>
      </c>
      <c r="W69" t="str">
        <f t="shared" si="35"/>
        <v>Leisure Time [4]</v>
      </c>
      <c r="X69" t="str">
        <f t="shared" si="17"/>
        <v>Le</v>
      </c>
      <c r="Y69">
        <f t="shared" si="18"/>
        <v>16</v>
      </c>
      <c r="Z69">
        <f t="shared" si="36"/>
        <v>17</v>
      </c>
      <c r="AA69">
        <f t="shared" si="34"/>
        <v>1</v>
      </c>
    </row>
    <row r="70" spans="1:27" x14ac:dyDescent="0.25">
      <c r="A70">
        <f t="shared" si="25"/>
        <v>15</v>
      </c>
      <c r="B70">
        <f t="shared" si="26"/>
        <v>17</v>
      </c>
      <c r="C70" t="str">
        <f t="shared" si="27"/>
        <v>8]</v>
      </c>
      <c r="D70">
        <f t="shared" si="4"/>
        <v>2</v>
      </c>
      <c r="E70" t="str">
        <f t="shared" si="28"/>
        <v>8</v>
      </c>
      <c r="F70" t="str">
        <f t="shared" si="29"/>
        <v>8</v>
      </c>
      <c r="G70">
        <f t="shared" si="30"/>
        <v>6</v>
      </c>
      <c r="H70" t="s">
        <v>335</v>
      </c>
      <c r="I70" t="str">
        <f t="shared" si="7"/>
        <v/>
      </c>
      <c r="J70" t="str">
        <f t="shared" si="8"/>
        <v/>
      </c>
      <c r="K70">
        <f t="shared" si="9"/>
        <v>22</v>
      </c>
      <c r="L70" t="str">
        <f t="shared" si="22"/>
        <v>|1,Measurements [8]</v>
      </c>
      <c r="N70" t="str">
        <f t="shared" si="31"/>
        <v>Me</v>
      </c>
      <c r="O70">
        <f t="shared" si="32"/>
        <v>1</v>
      </c>
      <c r="P70" t="str">
        <f t="shared" si="23"/>
        <v>Ev/Me</v>
      </c>
      <c r="Q70" s="1" t="str">
        <f t="shared" si="24"/>
        <v>Measurements [8]</v>
      </c>
      <c r="R70" s="2" t="str">
        <f t="shared" si="14"/>
        <v>&lt;li&gt;&lt;input type='checkbox'class= 'ckbx' name='8'value='Ev/Me'&gt; _ _ Measurements [8]&lt;/li&gt;</v>
      </c>
      <c r="T70" t="str">
        <f t="shared" si="21"/>
        <v>&amp;nbsp;&amp;nbsp;</v>
      </c>
      <c r="U70" t="str">
        <f t="shared" si="15"/>
        <v xml:space="preserve"> _ _ </v>
      </c>
      <c r="V70" s="1" t="s">
        <v>59</v>
      </c>
      <c r="W70" t="str">
        <f t="shared" si="35"/>
        <v>Measurements [8]</v>
      </c>
      <c r="X70" t="str">
        <f t="shared" si="17"/>
        <v>Me</v>
      </c>
      <c r="Y70">
        <f t="shared" si="18"/>
        <v>16</v>
      </c>
      <c r="Z70">
        <f t="shared" si="36"/>
        <v>17</v>
      </c>
      <c r="AA70">
        <f t="shared" si="34"/>
        <v>1</v>
      </c>
    </row>
    <row r="71" spans="1:27" x14ac:dyDescent="0.25">
      <c r="A71">
        <f t="shared" si="25"/>
        <v>15</v>
      </c>
      <c r="B71">
        <f t="shared" si="26"/>
        <v>17</v>
      </c>
      <c r="C71" t="str">
        <f t="shared" si="27"/>
        <v>1]</v>
      </c>
      <c r="D71">
        <f t="shared" si="4"/>
        <v>2</v>
      </c>
      <c r="E71" t="str">
        <f t="shared" si="28"/>
        <v>1</v>
      </c>
      <c r="F71" t="str">
        <f t="shared" si="29"/>
        <v>1</v>
      </c>
      <c r="G71">
        <f t="shared" si="30"/>
        <v>6</v>
      </c>
      <c r="H71" t="s">
        <v>336</v>
      </c>
      <c r="I71" t="str">
        <f t="shared" si="7"/>
        <v/>
      </c>
      <c r="J71" t="str">
        <f t="shared" si="8"/>
        <v/>
      </c>
      <c r="K71">
        <f t="shared" si="9"/>
        <v>22</v>
      </c>
      <c r="L71" t="str">
        <f t="shared" si="22"/>
        <v>|1,Modern Times [1]</v>
      </c>
      <c r="N71" t="str">
        <f t="shared" si="31"/>
        <v>Mo</v>
      </c>
      <c r="O71">
        <f t="shared" si="32"/>
        <v>1</v>
      </c>
      <c r="P71" t="str">
        <f t="shared" si="23"/>
        <v>Ev/Mo</v>
      </c>
      <c r="Q71" s="1" t="str">
        <f t="shared" si="24"/>
        <v>Modern Times [1]</v>
      </c>
      <c r="R71" s="2" t="str">
        <f t="shared" si="14"/>
        <v>&lt;li&gt;&lt;input type='checkbox'class= 'ckbx' name='1'value='Ev/Mo'&gt; _ _ Modern Times [1]&lt;/li&gt;</v>
      </c>
      <c r="T71" t="str">
        <f t="shared" si="21"/>
        <v>&amp;nbsp;&amp;nbsp;</v>
      </c>
      <c r="U71" t="str">
        <f t="shared" si="15"/>
        <v xml:space="preserve"> _ _ </v>
      </c>
      <c r="V71" s="1" t="s">
        <v>60</v>
      </c>
      <c r="W71" t="str">
        <f t="shared" si="35"/>
        <v>Modern Times [1]</v>
      </c>
      <c r="X71" t="str">
        <f t="shared" si="17"/>
        <v>Mo</v>
      </c>
      <c r="Y71">
        <f t="shared" si="18"/>
        <v>16</v>
      </c>
      <c r="Z71">
        <f t="shared" si="36"/>
        <v>17</v>
      </c>
      <c r="AA71">
        <f t="shared" si="34"/>
        <v>1</v>
      </c>
    </row>
    <row r="72" spans="1:27" x14ac:dyDescent="0.25">
      <c r="A72">
        <f t="shared" si="25"/>
        <v>7</v>
      </c>
      <c r="B72">
        <f t="shared" si="26"/>
        <v>9</v>
      </c>
      <c r="C72" t="str">
        <f t="shared" si="27"/>
        <v>3]</v>
      </c>
      <c r="D72">
        <f t="shared" si="4"/>
        <v>2</v>
      </c>
      <c r="E72" t="str">
        <f t="shared" si="28"/>
        <v>3</v>
      </c>
      <c r="F72" t="str">
        <f t="shared" si="29"/>
        <v>3</v>
      </c>
      <c r="G72">
        <f t="shared" si="30"/>
        <v>6</v>
      </c>
      <c r="H72" t="s">
        <v>337</v>
      </c>
      <c r="I72" t="str">
        <f t="shared" si="7"/>
        <v/>
      </c>
      <c r="J72" t="str">
        <f t="shared" si="8"/>
        <v/>
      </c>
      <c r="K72">
        <f t="shared" si="9"/>
        <v>22</v>
      </c>
      <c r="L72" t="str">
        <f t="shared" si="22"/>
        <v>|1,Pets [3]</v>
      </c>
      <c r="N72" t="str">
        <f t="shared" si="31"/>
        <v>Pe</v>
      </c>
      <c r="O72">
        <f t="shared" si="32"/>
        <v>1</v>
      </c>
      <c r="P72" t="str">
        <f t="shared" si="23"/>
        <v>Ev/Pe</v>
      </c>
      <c r="Q72" s="1" t="str">
        <f t="shared" si="24"/>
        <v>Pets [3]</v>
      </c>
      <c r="R72" s="2" t="str">
        <f t="shared" si="14"/>
        <v>&lt;li&gt;&lt;input type='checkbox'class= 'ckbx' name='3'value='Ev/Pe'&gt; _ _ Pets [3]&lt;/li&gt;</v>
      </c>
      <c r="T72" t="str">
        <f t="shared" si="21"/>
        <v>&amp;nbsp;&amp;nbsp;</v>
      </c>
      <c r="U72" t="str">
        <f t="shared" si="15"/>
        <v xml:space="preserve"> _ _ </v>
      </c>
      <c r="V72" s="1" t="s">
        <v>61</v>
      </c>
      <c r="W72" t="str">
        <f t="shared" si="35"/>
        <v>Pets [3]</v>
      </c>
      <c r="X72" t="str">
        <f t="shared" si="17"/>
        <v>Pe</v>
      </c>
      <c r="Y72">
        <f t="shared" si="18"/>
        <v>8</v>
      </c>
      <c r="Z72">
        <f t="shared" si="36"/>
        <v>9</v>
      </c>
      <c r="AA72">
        <f t="shared" si="34"/>
        <v>1</v>
      </c>
    </row>
    <row r="73" spans="1:27" x14ac:dyDescent="0.25">
      <c r="A73">
        <f t="shared" si="25"/>
        <v>18</v>
      </c>
      <c r="B73">
        <f t="shared" si="26"/>
        <v>22</v>
      </c>
      <c r="C73" t="str">
        <f t="shared" si="27"/>
        <v>151]</v>
      </c>
      <c r="D73">
        <f t="shared" si="4"/>
        <v>4</v>
      </c>
      <c r="E73" t="str">
        <f t="shared" si="28"/>
        <v>151</v>
      </c>
      <c r="F73" t="str">
        <f t="shared" si="29"/>
        <v>151</v>
      </c>
      <c r="G73">
        <f t="shared" si="30"/>
        <v>6</v>
      </c>
      <c r="H73" t="s">
        <v>338</v>
      </c>
      <c r="I73" t="str">
        <f t="shared" si="7"/>
        <v/>
      </c>
      <c r="J73" t="str">
        <f t="shared" si="8"/>
        <v/>
      </c>
      <c r="K73">
        <f t="shared" si="9"/>
        <v>22</v>
      </c>
      <c r="L73" t="str">
        <f t="shared" si="22"/>
        <v>|1,Popular Culture [151]</v>
      </c>
      <c r="N73" t="str">
        <f t="shared" si="31"/>
        <v>Po</v>
      </c>
      <c r="O73">
        <f t="shared" si="32"/>
        <v>1</v>
      </c>
      <c r="P73" t="str">
        <f t="shared" si="23"/>
        <v>Ev/Po</v>
      </c>
      <c r="Q73" s="1" t="str">
        <f t="shared" si="24"/>
        <v>Popular Culture [151]</v>
      </c>
      <c r="R73" s="2" t="str">
        <f t="shared" si="14"/>
        <v>&lt;li&gt;&lt;input type='checkbox'class= 'ckbx' name='151'value='Ev/Po'&gt; _ _ Popular Culture [151]&lt;/li&gt;</v>
      </c>
      <c r="T73" t="str">
        <f t="shared" si="21"/>
        <v>&amp;nbsp;&amp;nbsp;</v>
      </c>
      <c r="U73" t="str">
        <f t="shared" si="15"/>
        <v xml:space="preserve"> _ _ </v>
      </c>
      <c r="V73" s="1" t="s">
        <v>62</v>
      </c>
      <c r="W73" t="str">
        <f t="shared" si="35"/>
        <v>Popular Culture [151]</v>
      </c>
      <c r="X73" t="str">
        <f t="shared" si="17"/>
        <v>Po</v>
      </c>
      <c r="Y73">
        <f t="shared" si="18"/>
        <v>21</v>
      </c>
      <c r="Z73">
        <f t="shared" si="36"/>
        <v>22</v>
      </c>
      <c r="AA73">
        <f t="shared" si="34"/>
        <v>1</v>
      </c>
    </row>
    <row r="74" spans="1:27" x14ac:dyDescent="0.25">
      <c r="A74">
        <f t="shared" si="25"/>
        <v>9</v>
      </c>
      <c r="B74">
        <f t="shared" si="26"/>
        <v>12</v>
      </c>
      <c r="C74" t="str">
        <f t="shared" si="27"/>
        <v>30]</v>
      </c>
      <c r="D74">
        <f t="shared" si="4"/>
        <v>3</v>
      </c>
      <c r="E74" t="str">
        <f t="shared" si="28"/>
        <v>30</v>
      </c>
      <c r="F74" t="str">
        <f t="shared" si="29"/>
        <v>30</v>
      </c>
      <c r="G74">
        <f t="shared" si="30"/>
        <v>6</v>
      </c>
      <c r="H74" t="s">
        <v>339</v>
      </c>
      <c r="I74" t="str">
        <f t="shared" si="7"/>
        <v/>
      </c>
      <c r="J74" t="str">
        <f t="shared" si="8"/>
        <v/>
      </c>
      <c r="K74">
        <f t="shared" si="9"/>
        <v>22</v>
      </c>
      <c r="L74" t="str">
        <f t="shared" si="22"/>
        <v>|1,Quotes [30]</v>
      </c>
      <c r="N74" t="str">
        <f t="shared" si="31"/>
        <v>Qu</v>
      </c>
      <c r="O74">
        <f t="shared" si="32"/>
        <v>1</v>
      </c>
      <c r="P74" t="str">
        <f t="shared" si="23"/>
        <v>Ev/Qu</v>
      </c>
      <c r="Q74" s="1" t="str">
        <f t="shared" si="24"/>
        <v>Quotes [30]</v>
      </c>
      <c r="R74" s="2" t="str">
        <f t="shared" si="14"/>
        <v>&lt;li&gt;&lt;input type='checkbox'class= 'ckbx' name='30'value='Ev/Qu'&gt; _ _ Quotes [30]&lt;/li&gt;</v>
      </c>
      <c r="T74" t="str">
        <f t="shared" si="21"/>
        <v>&amp;nbsp;&amp;nbsp;</v>
      </c>
      <c r="U74" t="str">
        <f t="shared" si="15"/>
        <v xml:space="preserve"> _ _ </v>
      </c>
      <c r="V74" s="1" t="s">
        <v>63</v>
      </c>
      <c r="W74" t="str">
        <f t="shared" si="35"/>
        <v>Quotes [30]</v>
      </c>
      <c r="X74" t="str">
        <f t="shared" si="17"/>
        <v>Qu</v>
      </c>
      <c r="Y74">
        <f t="shared" si="18"/>
        <v>11</v>
      </c>
      <c r="Z74">
        <f t="shared" si="36"/>
        <v>12</v>
      </c>
      <c r="AA74">
        <f t="shared" si="34"/>
        <v>1</v>
      </c>
    </row>
    <row r="75" spans="1:27" x14ac:dyDescent="0.25">
      <c r="A75">
        <f t="shared" si="25"/>
        <v>7</v>
      </c>
      <c r="B75">
        <f t="shared" si="26"/>
        <v>9</v>
      </c>
      <c r="C75" t="str">
        <f t="shared" si="27"/>
        <v>1]</v>
      </c>
      <c r="D75">
        <f t="shared" si="4"/>
        <v>2</v>
      </c>
      <c r="E75" t="str">
        <f t="shared" si="28"/>
        <v>1</v>
      </c>
      <c r="F75" t="str">
        <f t="shared" si="29"/>
        <v>1</v>
      </c>
      <c r="G75">
        <f t="shared" si="30"/>
        <v>6</v>
      </c>
      <c r="H75" t="s">
        <v>340</v>
      </c>
      <c r="I75" t="str">
        <f t="shared" ref="I75:I138" si="37">IF(O75=0,"&lt;b&gt;","")</f>
        <v/>
      </c>
      <c r="J75" t="str">
        <f t="shared" ref="J75:J138" si="38">IF(O75=0,"&lt;/b&gt;","")</f>
        <v/>
      </c>
      <c r="K75">
        <f t="shared" ref="K75:K138" si="39">24 - (O75*2)</f>
        <v>22</v>
      </c>
      <c r="L75" t="str">
        <f t="shared" si="22"/>
        <v>|1,Race [1]</v>
      </c>
      <c r="N75" t="str">
        <f t="shared" si="31"/>
        <v>Ra</v>
      </c>
      <c r="O75">
        <f t="shared" si="32"/>
        <v>1</v>
      </c>
      <c r="P75" t="str">
        <f t="shared" si="23"/>
        <v>Ev/Ra</v>
      </c>
      <c r="Q75" s="1" t="str">
        <f t="shared" si="24"/>
        <v>Race [1]</v>
      </c>
      <c r="R75" s="2" t="str">
        <f t="shared" si="14"/>
        <v>&lt;li&gt;&lt;input type='checkbox'class= 'ckbx' name='1'value='Ev/Ra'&gt; _ _ Race [1]&lt;/li&gt;</v>
      </c>
      <c r="T75" t="str">
        <f t="shared" si="21"/>
        <v>&amp;nbsp;&amp;nbsp;</v>
      </c>
      <c r="U75" t="str">
        <f t="shared" ref="U75:U138" si="40">IF(AA75=0,"",IF(AA75=1," _ _ ",IF(AA75=2," _ _ _ _",IF(AA75=3," _ _ _ _ _ _;",IF(AA75=4," _ _ _ _ _ _ _ _",IF(AA75=5," _ _ _ _ _ _ _ _ _ _",IF(AA75=6," _ _ _ _ _ _ _ _ _ _ _ _",IF(AA75=7," _ _ _ _ _ _ _ _ _ _ _ _ _ _"))))))))</f>
        <v xml:space="preserve"> _ _ </v>
      </c>
      <c r="V75" s="1" t="s">
        <v>64</v>
      </c>
      <c r="W75" t="str">
        <f t="shared" si="35"/>
        <v>Race [1]</v>
      </c>
      <c r="X75" t="str">
        <f t="shared" si="17"/>
        <v>Ra</v>
      </c>
      <c r="Y75">
        <f t="shared" si="18"/>
        <v>8</v>
      </c>
      <c r="Z75">
        <f t="shared" si="36"/>
        <v>9</v>
      </c>
      <c r="AA75">
        <f t="shared" si="34"/>
        <v>1</v>
      </c>
    </row>
    <row r="76" spans="1:27" x14ac:dyDescent="0.25">
      <c r="A76">
        <f t="shared" si="25"/>
        <v>7</v>
      </c>
      <c r="B76">
        <f t="shared" si="26"/>
        <v>9</v>
      </c>
      <c r="C76" t="str">
        <f t="shared" si="27"/>
        <v>8]</v>
      </c>
      <c r="D76">
        <f t="shared" ref="D76:D139" si="41">LEN(C76)</f>
        <v>2</v>
      </c>
      <c r="E76" t="str">
        <f t="shared" si="28"/>
        <v>8</v>
      </c>
      <c r="F76" t="str">
        <f t="shared" si="29"/>
        <v>8</v>
      </c>
      <c r="G76">
        <f t="shared" si="30"/>
        <v>6</v>
      </c>
      <c r="H76" t="s">
        <v>341</v>
      </c>
      <c r="I76" t="str">
        <f t="shared" si="37"/>
        <v/>
      </c>
      <c r="J76" t="str">
        <f t="shared" si="38"/>
        <v/>
      </c>
      <c r="K76">
        <f t="shared" si="39"/>
        <v>22</v>
      </c>
      <c r="L76" t="str">
        <f t="shared" si="22"/>
        <v>|1,Work [8]</v>
      </c>
      <c r="N76" t="str">
        <f t="shared" si="31"/>
        <v>Wo</v>
      </c>
      <c r="O76">
        <f t="shared" si="32"/>
        <v>1</v>
      </c>
      <c r="P76" t="str">
        <f t="shared" si="23"/>
        <v>Ev/Wo</v>
      </c>
      <c r="Q76" s="1" t="str">
        <f t="shared" si="24"/>
        <v>Work [8]</v>
      </c>
      <c r="R76" s="2" t="str">
        <f t="shared" ref="R76:R139" si="42">"&lt;li&gt;&lt;input type='checkbox'class= 'ckbx' name='"&amp;F76&amp;"'value='"&amp;P76&amp;"'&gt;"&amp;I76&amp;U76&amp;W76&amp;J76&amp;"&lt;/li&gt;"</f>
        <v>&lt;li&gt;&lt;input type='checkbox'class= 'ckbx' name='8'value='Ev/Wo'&gt; _ _ Work [8]&lt;/li&gt;</v>
      </c>
      <c r="T76" t="str">
        <f t="shared" si="21"/>
        <v>&amp;nbsp;&amp;nbsp;</v>
      </c>
      <c r="U76" t="str">
        <f t="shared" si="40"/>
        <v xml:space="preserve"> _ _ </v>
      </c>
      <c r="V76" s="1" t="s">
        <v>65</v>
      </c>
      <c r="W76" t="str">
        <f t="shared" si="35"/>
        <v>Work [8]</v>
      </c>
      <c r="X76" t="str">
        <f t="shared" ref="X76:X139" si="43">MID(W76,1,2)</f>
        <v>Wo</v>
      </c>
      <c r="Y76">
        <f t="shared" ref="Y76:Y139" si="44">LEN(W76)</f>
        <v>8</v>
      </c>
      <c r="Z76">
        <f t="shared" si="36"/>
        <v>9</v>
      </c>
      <c r="AA76">
        <f t="shared" si="34"/>
        <v>1</v>
      </c>
    </row>
    <row r="77" spans="1:27" x14ac:dyDescent="0.25">
      <c r="A77" t="e">
        <f t="shared" si="25"/>
        <v>#VALUE!</v>
      </c>
      <c r="B77" t="e">
        <f t="shared" si="26"/>
        <v>#VALUE!</v>
      </c>
      <c r="C77" t="e">
        <f t="shared" si="27"/>
        <v>#VALUE!</v>
      </c>
      <c r="D77" t="e">
        <f t="shared" si="41"/>
        <v>#VALUE!</v>
      </c>
      <c r="E77" t="e">
        <f t="shared" si="28"/>
        <v>#VALUE!</v>
      </c>
      <c r="F77">
        <f t="shared" si="29"/>
        <v>0</v>
      </c>
      <c r="G77">
        <f t="shared" si="30"/>
        <v>3</v>
      </c>
      <c r="H77" t="s">
        <v>279</v>
      </c>
      <c r="I77" t="str">
        <f t="shared" si="37"/>
        <v>&lt;b&gt;</v>
      </c>
      <c r="J77" t="str">
        <f t="shared" si="38"/>
        <v>&lt;/b&gt;</v>
      </c>
      <c r="K77">
        <f t="shared" si="39"/>
        <v>24</v>
      </c>
      <c r="L77" t="str">
        <f t="shared" si="22"/>
        <v>|0,Games</v>
      </c>
      <c r="N77" t="str">
        <f t="shared" si="31"/>
        <v>Ga</v>
      </c>
      <c r="O77">
        <f t="shared" si="32"/>
        <v>0</v>
      </c>
      <c r="P77" t="str">
        <f t="shared" si="23"/>
        <v>Ga</v>
      </c>
      <c r="Q77" s="1" t="str">
        <f t="shared" si="24"/>
        <v>Games</v>
      </c>
      <c r="R77" s="2" t="str">
        <f t="shared" si="42"/>
        <v>&lt;li&gt;&lt;input type='checkbox'class= 'ckbx' name='0'value='Ga'&gt;&lt;b&gt;Games&lt;/b&gt;&lt;/li&gt;</v>
      </c>
      <c r="T77" t="str">
        <f t="shared" ref="T77:T140" si="45">IF(AA77=0,"",IF(AA77=1,"&amp;nbsp;&amp;nbsp;",IF(AA77=2,"&amp;nbsp;&amp;nbsp;&amp;nbsp;&amp;nbsp;",IF(AA77=3,"&amp;nbsp;&amp;nbsp;&amp;nbsp;&amp;nbsp;&amp;nbsp;&amp;nbsp;",IF(AA77=4,"&amp;nbsp;&amp;nbsp;&amp;nbsp;&amp;nbsp;&amp;nbsp;&amp;nbsp;&amp;nbsp;&amp;nbsp;",IF(AA77=5,"&amp;nbsp;&amp;nbsp;&amp;nbsp;&amp;nbsp;&amp;nbsp;&amp;nbsp;&amp;nbsp;&amp;nbsp;&amp;nbsp;&amp;nbsp;&amp;nbsp;&amp;nbsp;"))))))</f>
        <v/>
      </c>
      <c r="U77" t="str">
        <f t="shared" si="40"/>
        <v/>
      </c>
      <c r="V77" s="1" t="s">
        <v>66</v>
      </c>
      <c r="W77" t="str">
        <f t="shared" si="35"/>
        <v>Games</v>
      </c>
      <c r="X77" t="str">
        <f t="shared" si="43"/>
        <v>Ga</v>
      </c>
      <c r="Y77">
        <f t="shared" si="44"/>
        <v>5</v>
      </c>
      <c r="Z77">
        <f t="shared" si="36"/>
        <v>5</v>
      </c>
      <c r="AA77">
        <f t="shared" si="34"/>
        <v>0</v>
      </c>
    </row>
    <row r="78" spans="1:27" x14ac:dyDescent="0.25">
      <c r="A78">
        <f t="shared" si="25"/>
        <v>8</v>
      </c>
      <c r="B78">
        <f t="shared" si="26"/>
        <v>10</v>
      </c>
      <c r="C78" t="str">
        <f t="shared" si="27"/>
        <v>1]</v>
      </c>
      <c r="D78">
        <f t="shared" si="41"/>
        <v>2</v>
      </c>
      <c r="E78" t="str">
        <f t="shared" si="28"/>
        <v>1</v>
      </c>
      <c r="F78" t="str">
        <f t="shared" si="29"/>
        <v>1</v>
      </c>
      <c r="G78">
        <f t="shared" si="30"/>
        <v>6</v>
      </c>
      <c r="H78" t="s">
        <v>342</v>
      </c>
      <c r="I78" t="str">
        <f t="shared" si="37"/>
        <v/>
      </c>
      <c r="J78" t="str">
        <f t="shared" si="38"/>
        <v/>
      </c>
      <c r="K78">
        <f t="shared" si="39"/>
        <v>22</v>
      </c>
      <c r="L78" t="str">
        <f t="shared" si="22"/>
        <v>|1,Board [1]</v>
      </c>
      <c r="N78" t="str">
        <f t="shared" si="31"/>
        <v>Bo</v>
      </c>
      <c r="O78">
        <f t="shared" si="32"/>
        <v>1</v>
      </c>
      <c r="P78" t="str">
        <f t="shared" si="23"/>
        <v>Ga/Bo</v>
      </c>
      <c r="Q78" s="1" t="str">
        <f t="shared" si="24"/>
        <v>Board [1]</v>
      </c>
      <c r="R78" s="2" t="str">
        <f t="shared" si="42"/>
        <v>&lt;li&gt;&lt;input type='checkbox'class= 'ckbx' name='1'value='Ga/Bo'&gt; _ _ Board [1]&lt;/li&gt;</v>
      </c>
      <c r="T78" t="str">
        <f t="shared" si="45"/>
        <v>&amp;nbsp;&amp;nbsp;</v>
      </c>
      <c r="U78" t="str">
        <f t="shared" si="40"/>
        <v xml:space="preserve"> _ _ </v>
      </c>
      <c r="V78" s="1" t="s">
        <v>67</v>
      </c>
      <c r="W78" t="str">
        <f t="shared" si="35"/>
        <v>Board [1]</v>
      </c>
      <c r="X78" t="str">
        <f t="shared" si="43"/>
        <v>Bo</v>
      </c>
      <c r="Y78">
        <f t="shared" si="44"/>
        <v>9</v>
      </c>
      <c r="Z78">
        <f t="shared" si="36"/>
        <v>10</v>
      </c>
      <c r="AA78">
        <f t="shared" si="34"/>
        <v>1</v>
      </c>
    </row>
    <row r="79" spans="1:27" x14ac:dyDescent="0.25">
      <c r="A79">
        <f t="shared" si="25"/>
        <v>7</v>
      </c>
      <c r="B79">
        <f t="shared" si="26"/>
        <v>9</v>
      </c>
      <c r="C79" t="str">
        <f t="shared" si="27"/>
        <v>1]</v>
      </c>
      <c r="D79">
        <f t="shared" si="41"/>
        <v>2</v>
      </c>
      <c r="E79" t="str">
        <f t="shared" si="28"/>
        <v>1</v>
      </c>
      <c r="F79" t="str">
        <f t="shared" si="29"/>
        <v>1</v>
      </c>
      <c r="G79">
        <f t="shared" si="30"/>
        <v>6</v>
      </c>
      <c r="H79" t="s">
        <v>343</v>
      </c>
      <c r="I79" t="str">
        <f t="shared" si="37"/>
        <v/>
      </c>
      <c r="J79" t="str">
        <f t="shared" si="38"/>
        <v/>
      </c>
      <c r="K79">
        <f t="shared" si="39"/>
        <v>22</v>
      </c>
      <c r="L79" t="str">
        <f t="shared" si="22"/>
        <v>|1,Card [1]</v>
      </c>
      <c r="N79" t="str">
        <f t="shared" si="31"/>
        <v>Ca</v>
      </c>
      <c r="O79">
        <f t="shared" si="32"/>
        <v>1</v>
      </c>
      <c r="P79" t="str">
        <f t="shared" si="23"/>
        <v>Ga/Ca</v>
      </c>
      <c r="Q79" s="1" t="str">
        <f t="shared" si="24"/>
        <v>Card [1]</v>
      </c>
      <c r="R79" s="2" t="str">
        <f t="shared" si="42"/>
        <v>&lt;li&gt;&lt;input type='checkbox'class= 'ckbx' name='1'value='Ga/Ca'&gt; _ _ Card [1]&lt;/li&gt;</v>
      </c>
      <c r="T79" t="str">
        <f t="shared" si="45"/>
        <v>&amp;nbsp;&amp;nbsp;</v>
      </c>
      <c r="U79" t="str">
        <f t="shared" si="40"/>
        <v xml:space="preserve"> _ _ </v>
      </c>
      <c r="V79" s="1" t="s">
        <v>68</v>
      </c>
      <c r="W79" t="str">
        <f t="shared" si="35"/>
        <v>Card [1]</v>
      </c>
      <c r="X79" t="str">
        <f t="shared" si="43"/>
        <v>Ca</v>
      </c>
      <c r="Y79">
        <f t="shared" si="44"/>
        <v>8</v>
      </c>
      <c r="Z79">
        <f t="shared" si="36"/>
        <v>9</v>
      </c>
      <c r="AA79">
        <f t="shared" si="34"/>
        <v>1</v>
      </c>
    </row>
    <row r="80" spans="1:27" x14ac:dyDescent="0.25">
      <c r="A80" t="e">
        <f t="shared" si="25"/>
        <v>#VALUE!</v>
      </c>
      <c r="B80" t="e">
        <f t="shared" si="26"/>
        <v>#VALUE!</v>
      </c>
      <c r="C80" t="e">
        <f t="shared" si="27"/>
        <v>#VALUE!</v>
      </c>
      <c r="D80" t="e">
        <f t="shared" si="41"/>
        <v>#VALUE!</v>
      </c>
      <c r="E80" t="e">
        <f t="shared" si="28"/>
        <v>#VALUE!</v>
      </c>
      <c r="F80">
        <f t="shared" si="29"/>
        <v>0</v>
      </c>
      <c r="G80">
        <f t="shared" si="30"/>
        <v>3</v>
      </c>
      <c r="H80" t="s">
        <v>280</v>
      </c>
      <c r="I80" t="str">
        <f t="shared" si="37"/>
        <v>&lt;b&gt;</v>
      </c>
      <c r="J80" t="str">
        <f t="shared" si="38"/>
        <v>&lt;/b&gt;</v>
      </c>
      <c r="K80">
        <f t="shared" si="39"/>
        <v>24</v>
      </c>
      <c r="L80" t="str">
        <f t="shared" si="22"/>
        <v>|0,Geography</v>
      </c>
      <c r="N80" t="str">
        <f t="shared" si="31"/>
        <v>Ge</v>
      </c>
      <c r="O80">
        <f t="shared" si="32"/>
        <v>0</v>
      </c>
      <c r="P80" t="str">
        <f t="shared" si="23"/>
        <v>Ge</v>
      </c>
      <c r="Q80" s="1" t="str">
        <f t="shared" si="24"/>
        <v>Geography</v>
      </c>
      <c r="R80" s="2" t="str">
        <f t="shared" si="42"/>
        <v>&lt;li&gt;&lt;input type='checkbox'class= 'ckbx' name='0'value='Ge'&gt;&lt;b&gt;Geography&lt;/b&gt;&lt;/li&gt;</v>
      </c>
      <c r="T80" t="str">
        <f t="shared" si="45"/>
        <v/>
      </c>
      <c r="U80" t="str">
        <f t="shared" si="40"/>
        <v/>
      </c>
      <c r="V80" s="1" t="s">
        <v>69</v>
      </c>
      <c r="W80" t="str">
        <f t="shared" si="35"/>
        <v>Geography</v>
      </c>
      <c r="X80" t="str">
        <f t="shared" si="43"/>
        <v>Ge</v>
      </c>
      <c r="Y80">
        <f t="shared" si="44"/>
        <v>9</v>
      </c>
      <c r="Z80">
        <f t="shared" si="36"/>
        <v>9</v>
      </c>
      <c r="AA80">
        <f t="shared" si="34"/>
        <v>0</v>
      </c>
    </row>
    <row r="81" spans="1:27" x14ac:dyDescent="0.25">
      <c r="A81">
        <f t="shared" si="25"/>
        <v>11</v>
      </c>
      <c r="B81">
        <f t="shared" si="26"/>
        <v>14</v>
      </c>
      <c r="C81" t="str">
        <f t="shared" si="27"/>
        <v>36]</v>
      </c>
      <c r="D81">
        <f t="shared" si="41"/>
        <v>3</v>
      </c>
      <c r="E81" t="str">
        <f t="shared" si="28"/>
        <v>36</v>
      </c>
      <c r="F81" t="str">
        <f t="shared" si="29"/>
        <v>36</v>
      </c>
      <c r="G81">
        <f t="shared" si="30"/>
        <v>6</v>
      </c>
      <c r="H81" t="s">
        <v>344</v>
      </c>
      <c r="I81" t="str">
        <f t="shared" si="37"/>
        <v/>
      </c>
      <c r="J81" t="str">
        <f t="shared" si="38"/>
        <v/>
      </c>
      <c r="K81">
        <f t="shared" si="39"/>
        <v>22</v>
      </c>
      <c r="L81" t="str">
        <f t="shared" si="22"/>
        <v>|1,American [36]</v>
      </c>
      <c r="N81" t="str">
        <f t="shared" si="31"/>
        <v>Am</v>
      </c>
      <c r="O81">
        <f t="shared" si="32"/>
        <v>1</v>
      </c>
      <c r="P81" t="str">
        <f t="shared" si="23"/>
        <v>Ge/Am</v>
      </c>
      <c r="Q81" s="1" t="str">
        <f t="shared" si="24"/>
        <v>American [36]</v>
      </c>
      <c r="R81" s="2" t="str">
        <f t="shared" si="42"/>
        <v>&lt;li&gt;&lt;input type='checkbox'class= 'ckbx' name='36'value='Ge/Am'&gt; _ _ American [36]&lt;/li&gt;</v>
      </c>
      <c r="T81" t="str">
        <f t="shared" si="45"/>
        <v>&amp;nbsp;&amp;nbsp;</v>
      </c>
      <c r="U81" t="str">
        <f t="shared" si="40"/>
        <v xml:space="preserve"> _ _ </v>
      </c>
      <c r="V81" s="1" t="s">
        <v>70</v>
      </c>
      <c r="W81" t="str">
        <f t="shared" si="35"/>
        <v>American [36]</v>
      </c>
      <c r="X81" t="str">
        <f t="shared" si="43"/>
        <v>Am</v>
      </c>
      <c r="Y81">
        <f t="shared" si="44"/>
        <v>13</v>
      </c>
      <c r="Z81">
        <f t="shared" si="36"/>
        <v>14</v>
      </c>
      <c r="AA81">
        <f t="shared" si="34"/>
        <v>1</v>
      </c>
    </row>
    <row r="82" spans="1:27" x14ac:dyDescent="0.25">
      <c r="A82">
        <f t="shared" si="25"/>
        <v>8</v>
      </c>
      <c r="B82">
        <f t="shared" si="26"/>
        <v>13</v>
      </c>
      <c r="C82" t="str">
        <f t="shared" si="27"/>
        <v>1410]</v>
      </c>
      <c r="D82">
        <f t="shared" si="41"/>
        <v>5</v>
      </c>
      <c r="E82" t="str">
        <f t="shared" si="28"/>
        <v>1410</v>
      </c>
      <c r="F82" t="str">
        <f t="shared" si="29"/>
        <v>1410</v>
      </c>
      <c r="G82">
        <f t="shared" si="30"/>
        <v>9</v>
      </c>
      <c r="H82" t="s">
        <v>345</v>
      </c>
      <c r="I82" t="str">
        <f t="shared" si="37"/>
        <v/>
      </c>
      <c r="J82" t="str">
        <f t="shared" si="38"/>
        <v/>
      </c>
      <c r="K82">
        <f t="shared" si="39"/>
        <v>20</v>
      </c>
      <c r="L82" t="str">
        <f t="shared" si="22"/>
        <v>|2,City [1410]</v>
      </c>
      <c r="N82" t="str">
        <f t="shared" si="31"/>
        <v>Ci</v>
      </c>
      <c r="O82">
        <f t="shared" si="32"/>
        <v>2</v>
      </c>
      <c r="P82" t="str">
        <f t="shared" si="23"/>
        <v>Ge/Am/Ci</v>
      </c>
      <c r="Q82" s="1" t="str">
        <f t="shared" si="24"/>
        <v>City [1410]</v>
      </c>
      <c r="R82" s="2" t="str">
        <f t="shared" si="42"/>
        <v>&lt;li&gt;&lt;input type='checkbox'class= 'ckbx' name='1410'value='Ge/Am/Ci'&gt; _ _ _ _City [1410]&lt;/li&gt;</v>
      </c>
      <c r="T82" t="str">
        <f t="shared" si="45"/>
        <v>&amp;nbsp;&amp;nbsp;&amp;nbsp;&amp;nbsp;</v>
      </c>
      <c r="U82" t="str">
        <f t="shared" si="40"/>
        <v xml:space="preserve"> _ _ _ _</v>
      </c>
      <c r="V82" s="1" t="s">
        <v>71</v>
      </c>
      <c r="W82" t="str">
        <f t="shared" si="35"/>
        <v>City [1410]</v>
      </c>
      <c r="X82" t="str">
        <f t="shared" si="43"/>
        <v>Ci</v>
      </c>
      <c r="Y82">
        <f t="shared" si="44"/>
        <v>11</v>
      </c>
      <c r="Z82">
        <f t="shared" si="36"/>
        <v>13</v>
      </c>
      <c r="AA82">
        <f t="shared" si="34"/>
        <v>2</v>
      </c>
    </row>
    <row r="83" spans="1:27" x14ac:dyDescent="0.25">
      <c r="A83">
        <f t="shared" si="25"/>
        <v>12</v>
      </c>
      <c r="B83">
        <f t="shared" si="26"/>
        <v>15</v>
      </c>
      <c r="C83" t="str">
        <f t="shared" si="27"/>
        <v>39]</v>
      </c>
      <c r="D83">
        <f t="shared" si="41"/>
        <v>3</v>
      </c>
      <c r="E83" t="str">
        <f t="shared" si="28"/>
        <v>39</v>
      </c>
      <c r="F83" t="str">
        <f t="shared" si="29"/>
        <v>39</v>
      </c>
      <c r="G83">
        <f t="shared" si="30"/>
        <v>9</v>
      </c>
      <c r="H83" t="s">
        <v>346</v>
      </c>
      <c r="I83" t="str">
        <f t="shared" si="37"/>
        <v/>
      </c>
      <c r="J83" t="str">
        <f t="shared" si="38"/>
        <v/>
      </c>
      <c r="K83">
        <f t="shared" si="39"/>
        <v>20</v>
      </c>
      <c r="L83" t="str">
        <f t="shared" si="22"/>
        <v>|2,Highways [39]</v>
      </c>
      <c r="N83" t="str">
        <f t="shared" si="31"/>
        <v>Hi</v>
      </c>
      <c r="O83">
        <f t="shared" si="32"/>
        <v>2</v>
      </c>
      <c r="P83" t="str">
        <f t="shared" si="23"/>
        <v>Ge/Am/Hi</v>
      </c>
      <c r="Q83" s="1" t="str">
        <f t="shared" si="24"/>
        <v>Highways [39]</v>
      </c>
      <c r="R83" s="2" t="str">
        <f t="shared" si="42"/>
        <v>&lt;li&gt;&lt;input type='checkbox'class= 'ckbx' name='39'value='Ge/Am/Hi'&gt; _ _ _ _Highways [39]&lt;/li&gt;</v>
      </c>
      <c r="T83" t="str">
        <f t="shared" si="45"/>
        <v>&amp;nbsp;&amp;nbsp;&amp;nbsp;&amp;nbsp;</v>
      </c>
      <c r="U83" t="str">
        <f t="shared" si="40"/>
        <v xml:space="preserve"> _ _ _ _</v>
      </c>
      <c r="V83" s="1" t="s">
        <v>72</v>
      </c>
      <c r="W83" t="str">
        <f t="shared" si="35"/>
        <v>Highways [39]</v>
      </c>
      <c r="X83" t="str">
        <f t="shared" si="43"/>
        <v>Hi</v>
      </c>
      <c r="Y83">
        <f t="shared" si="44"/>
        <v>13</v>
      </c>
      <c r="Z83">
        <f t="shared" si="36"/>
        <v>15</v>
      </c>
      <c r="AA83">
        <f t="shared" si="34"/>
        <v>2</v>
      </c>
    </row>
    <row r="84" spans="1:27" x14ac:dyDescent="0.25">
      <c r="A84">
        <f t="shared" si="25"/>
        <v>9</v>
      </c>
      <c r="B84">
        <f t="shared" si="26"/>
        <v>12</v>
      </c>
      <c r="C84" t="str">
        <f t="shared" si="27"/>
        <v>16]</v>
      </c>
      <c r="D84">
        <f t="shared" si="41"/>
        <v>3</v>
      </c>
      <c r="E84" t="str">
        <f t="shared" si="28"/>
        <v>16</v>
      </c>
      <c r="F84" t="str">
        <f t="shared" si="29"/>
        <v>16</v>
      </c>
      <c r="G84">
        <f t="shared" si="30"/>
        <v>6</v>
      </c>
      <c r="H84" t="s">
        <v>347</v>
      </c>
      <c r="I84" t="str">
        <f t="shared" si="37"/>
        <v/>
      </c>
      <c r="J84" t="str">
        <f t="shared" si="38"/>
        <v/>
      </c>
      <c r="K84">
        <f t="shared" si="39"/>
        <v>22</v>
      </c>
      <c r="L84" t="str">
        <f t="shared" si="22"/>
        <v>|1,Cities [16]</v>
      </c>
      <c r="N84" t="str">
        <f t="shared" si="31"/>
        <v>Ci</v>
      </c>
      <c r="O84">
        <f t="shared" si="32"/>
        <v>1</v>
      </c>
      <c r="P84" t="str">
        <f t="shared" si="23"/>
        <v>Ge/Ci</v>
      </c>
      <c r="Q84" s="1" t="str">
        <f t="shared" si="24"/>
        <v>Cities [16]</v>
      </c>
      <c r="R84" s="2" t="str">
        <f t="shared" si="42"/>
        <v>&lt;li&gt;&lt;input type='checkbox'class= 'ckbx' name='16'value='Ge/Ci'&gt; _ _ Cities [16]&lt;/li&gt;</v>
      </c>
      <c r="T84" t="str">
        <f t="shared" si="45"/>
        <v>&amp;nbsp;&amp;nbsp;</v>
      </c>
      <c r="U84" t="str">
        <f t="shared" si="40"/>
        <v xml:space="preserve"> _ _ </v>
      </c>
      <c r="V84" s="1" t="s">
        <v>73</v>
      </c>
      <c r="W84" t="str">
        <f t="shared" si="35"/>
        <v>Cities [16]</v>
      </c>
      <c r="X84" t="str">
        <f t="shared" si="43"/>
        <v>Ci</v>
      </c>
      <c r="Y84">
        <f t="shared" si="44"/>
        <v>11</v>
      </c>
      <c r="Z84">
        <f t="shared" si="36"/>
        <v>12</v>
      </c>
      <c r="AA84">
        <f t="shared" si="34"/>
        <v>1</v>
      </c>
    </row>
    <row r="85" spans="1:27" x14ac:dyDescent="0.25">
      <c r="A85">
        <f t="shared" si="25"/>
        <v>12</v>
      </c>
      <c r="B85">
        <f t="shared" si="26"/>
        <v>15</v>
      </c>
      <c r="C85" t="str">
        <f t="shared" si="27"/>
        <v>24]</v>
      </c>
      <c r="D85">
        <f t="shared" si="41"/>
        <v>3</v>
      </c>
      <c r="E85" t="str">
        <f t="shared" si="28"/>
        <v>24</v>
      </c>
      <c r="F85" t="str">
        <f t="shared" si="29"/>
        <v>24</v>
      </c>
      <c r="G85">
        <f t="shared" si="30"/>
        <v>6</v>
      </c>
      <c r="H85" t="s">
        <v>348</v>
      </c>
      <c r="I85" t="str">
        <f t="shared" si="37"/>
        <v/>
      </c>
      <c r="J85" t="str">
        <f t="shared" si="38"/>
        <v/>
      </c>
      <c r="K85">
        <f t="shared" si="39"/>
        <v>22</v>
      </c>
      <c r="L85" t="str">
        <f t="shared" si="22"/>
        <v>|1,Countries [24]</v>
      </c>
      <c r="N85" t="str">
        <f t="shared" si="31"/>
        <v>Co</v>
      </c>
      <c r="O85">
        <f t="shared" si="32"/>
        <v>1</v>
      </c>
      <c r="P85" t="str">
        <f t="shared" si="23"/>
        <v>Ge/Co</v>
      </c>
      <c r="Q85" s="1" t="str">
        <f t="shared" si="24"/>
        <v>Countries [24]</v>
      </c>
      <c r="R85" s="2" t="str">
        <f t="shared" si="42"/>
        <v>&lt;li&gt;&lt;input type='checkbox'class= 'ckbx' name='24'value='Ge/Co'&gt; _ _ Countries [24]&lt;/li&gt;</v>
      </c>
      <c r="T85" t="str">
        <f t="shared" si="45"/>
        <v>&amp;nbsp;&amp;nbsp;</v>
      </c>
      <c r="U85" t="str">
        <f t="shared" si="40"/>
        <v xml:space="preserve"> _ _ </v>
      </c>
      <c r="V85" s="1" t="s">
        <v>74</v>
      </c>
      <c r="W85" t="str">
        <f t="shared" si="35"/>
        <v>Countries [24]</v>
      </c>
      <c r="X85" t="str">
        <f t="shared" si="43"/>
        <v>Co</v>
      </c>
      <c r="Y85">
        <f t="shared" si="44"/>
        <v>14</v>
      </c>
      <c r="Z85">
        <f t="shared" si="36"/>
        <v>15</v>
      </c>
      <c r="AA85">
        <f t="shared" si="34"/>
        <v>1</v>
      </c>
    </row>
    <row r="86" spans="1:27" x14ac:dyDescent="0.25">
      <c r="A86" t="e">
        <f t="shared" si="25"/>
        <v>#VALUE!</v>
      </c>
      <c r="B86" t="e">
        <f t="shared" si="26"/>
        <v>#VALUE!</v>
      </c>
      <c r="C86" t="e">
        <f t="shared" si="27"/>
        <v>#VALUE!</v>
      </c>
      <c r="D86" t="e">
        <f t="shared" si="41"/>
        <v>#VALUE!</v>
      </c>
      <c r="E86" t="e">
        <f t="shared" si="28"/>
        <v>#VALUE!</v>
      </c>
      <c r="F86">
        <f t="shared" si="29"/>
        <v>0</v>
      </c>
      <c r="G86">
        <f t="shared" si="30"/>
        <v>9</v>
      </c>
      <c r="H86" t="s">
        <v>349</v>
      </c>
      <c r="I86" t="str">
        <f t="shared" si="37"/>
        <v/>
      </c>
      <c r="J86" t="str">
        <f t="shared" si="38"/>
        <v/>
      </c>
      <c r="K86">
        <f t="shared" si="39"/>
        <v>20</v>
      </c>
      <c r="L86" t="str">
        <f t="shared" si="22"/>
        <v>|2,Cities</v>
      </c>
      <c r="N86" t="str">
        <f t="shared" si="31"/>
        <v>Ci</v>
      </c>
      <c r="O86">
        <f t="shared" si="32"/>
        <v>2</v>
      </c>
      <c r="P86" t="str">
        <f t="shared" si="23"/>
        <v>Ge/Co/Ci</v>
      </c>
      <c r="Q86" s="1" t="str">
        <f t="shared" si="24"/>
        <v>Cities</v>
      </c>
      <c r="R86" s="2" t="str">
        <f t="shared" si="42"/>
        <v>&lt;li&gt;&lt;input type='checkbox'class= 'ckbx' name='0'value='Ge/Co/Ci'&gt; _ _ _ _Cities&lt;/li&gt;</v>
      </c>
      <c r="T86" t="str">
        <f t="shared" si="45"/>
        <v>&amp;nbsp;&amp;nbsp;&amp;nbsp;&amp;nbsp;</v>
      </c>
      <c r="U86" t="str">
        <f t="shared" si="40"/>
        <v xml:space="preserve"> _ _ _ _</v>
      </c>
      <c r="V86" s="1" t="s">
        <v>75</v>
      </c>
      <c r="W86" t="str">
        <f t="shared" si="35"/>
        <v>Cities</v>
      </c>
      <c r="X86" t="str">
        <f t="shared" si="43"/>
        <v>Ci</v>
      </c>
      <c r="Y86">
        <f t="shared" si="44"/>
        <v>6</v>
      </c>
      <c r="Z86">
        <f t="shared" si="36"/>
        <v>8</v>
      </c>
      <c r="AA86">
        <f t="shared" si="34"/>
        <v>2</v>
      </c>
    </row>
    <row r="87" spans="1:27" x14ac:dyDescent="0.25">
      <c r="A87">
        <f t="shared" si="25"/>
        <v>13</v>
      </c>
      <c r="B87">
        <f t="shared" si="26"/>
        <v>15</v>
      </c>
      <c r="C87" t="str">
        <f t="shared" si="27"/>
        <v>7]</v>
      </c>
      <c r="D87">
        <f t="shared" si="41"/>
        <v>2</v>
      </c>
      <c r="E87" t="str">
        <f t="shared" si="28"/>
        <v>7</v>
      </c>
      <c r="F87" t="str">
        <f t="shared" si="29"/>
        <v>7</v>
      </c>
      <c r="G87">
        <f t="shared" si="30"/>
        <v>12</v>
      </c>
      <c r="H87" t="s">
        <v>350</v>
      </c>
      <c r="I87" t="str">
        <f t="shared" si="37"/>
        <v/>
      </c>
      <c r="J87" t="str">
        <f t="shared" si="38"/>
        <v/>
      </c>
      <c r="K87">
        <f t="shared" si="39"/>
        <v>18</v>
      </c>
      <c r="L87" t="str">
        <f t="shared" si="22"/>
        <v>|3,Capitals [7]</v>
      </c>
      <c r="N87" t="str">
        <f t="shared" si="31"/>
        <v>Ca</v>
      </c>
      <c r="O87">
        <f t="shared" si="32"/>
        <v>3</v>
      </c>
      <c r="P87" t="str">
        <f t="shared" si="23"/>
        <v>Ge/Co/Ci/Ca</v>
      </c>
      <c r="Q87" s="1" t="str">
        <f t="shared" si="24"/>
        <v>Capitals [7]</v>
      </c>
      <c r="R87" s="2" t="str">
        <f t="shared" si="42"/>
        <v>&lt;li&gt;&lt;input type='checkbox'class= 'ckbx' name='7'value='Ge/Co/Ci/Ca'&gt; _ _ _ _ _ _;Capitals [7]&lt;/li&gt;</v>
      </c>
      <c r="T87" t="str">
        <f t="shared" si="45"/>
        <v>&amp;nbsp;&amp;nbsp;&amp;nbsp;&amp;nbsp;&amp;nbsp;&amp;nbsp;</v>
      </c>
      <c r="U87" t="str">
        <f t="shared" si="40"/>
        <v xml:space="preserve"> _ _ _ _ _ _;</v>
      </c>
      <c r="V87" s="1" t="s">
        <v>76</v>
      </c>
      <c r="W87" t="str">
        <f t="shared" si="35"/>
        <v>Capitals [7]</v>
      </c>
      <c r="X87" t="str">
        <f t="shared" si="43"/>
        <v>Ca</v>
      </c>
      <c r="Y87">
        <f t="shared" si="44"/>
        <v>12</v>
      </c>
      <c r="Z87">
        <f t="shared" si="36"/>
        <v>15</v>
      </c>
      <c r="AA87">
        <f t="shared" si="34"/>
        <v>3</v>
      </c>
    </row>
    <row r="88" spans="1:27" x14ac:dyDescent="0.25">
      <c r="A88">
        <f t="shared" si="25"/>
        <v>11</v>
      </c>
      <c r="B88">
        <f t="shared" si="26"/>
        <v>13</v>
      </c>
      <c r="C88" t="str">
        <f t="shared" si="27"/>
        <v>5]</v>
      </c>
      <c r="D88">
        <f t="shared" si="41"/>
        <v>2</v>
      </c>
      <c r="E88" t="str">
        <f t="shared" si="28"/>
        <v>5</v>
      </c>
      <c r="F88" t="str">
        <f t="shared" si="29"/>
        <v>5</v>
      </c>
      <c r="G88">
        <f t="shared" si="30"/>
        <v>6</v>
      </c>
      <c r="H88" t="s">
        <v>351</v>
      </c>
      <c r="I88" t="str">
        <f t="shared" si="37"/>
        <v/>
      </c>
      <c r="J88" t="str">
        <f t="shared" si="38"/>
        <v/>
      </c>
      <c r="K88">
        <f t="shared" si="39"/>
        <v>22</v>
      </c>
      <c r="L88" t="str">
        <f t="shared" ref="L88:L151" si="46">"|"&amp;O88&amp;","&amp;W88</f>
        <v>|1,Distance [5]</v>
      </c>
      <c r="N88" t="str">
        <f t="shared" si="31"/>
        <v>Di</v>
      </c>
      <c r="O88">
        <f t="shared" si="32"/>
        <v>1</v>
      </c>
      <c r="P88" t="str">
        <f t="shared" ref="P88:P151" si="47">MID(H88,1,G88-1)</f>
        <v>Ge/Di</v>
      </c>
      <c r="Q88" s="1" t="str">
        <f t="shared" ref="Q88:Q151" si="48">W88</f>
        <v>Distance [5]</v>
      </c>
      <c r="R88" s="2" t="str">
        <f t="shared" si="42"/>
        <v>&lt;li&gt;&lt;input type='checkbox'class= 'ckbx' name='5'value='Ge/Di'&gt; _ _ Distance [5]&lt;/li&gt;</v>
      </c>
      <c r="T88" t="str">
        <f t="shared" si="45"/>
        <v>&amp;nbsp;&amp;nbsp;</v>
      </c>
      <c r="U88" t="str">
        <f t="shared" si="40"/>
        <v xml:space="preserve"> _ _ </v>
      </c>
      <c r="V88" s="1" t="s">
        <v>77</v>
      </c>
      <c r="W88" t="str">
        <f t="shared" si="35"/>
        <v>Distance [5]</v>
      </c>
      <c r="X88" t="str">
        <f t="shared" si="43"/>
        <v>Di</v>
      </c>
      <c r="Y88">
        <f t="shared" si="44"/>
        <v>12</v>
      </c>
      <c r="Z88">
        <f t="shared" si="36"/>
        <v>13</v>
      </c>
      <c r="AA88">
        <f t="shared" si="34"/>
        <v>1</v>
      </c>
    </row>
    <row r="89" spans="1:27" x14ac:dyDescent="0.25">
      <c r="A89">
        <f t="shared" ref="A89:A152" si="49">FIND("[",V89)</f>
        <v>25</v>
      </c>
      <c r="B89">
        <f t="shared" ref="B89:B152" si="50">FIND("]",V89)</f>
        <v>29</v>
      </c>
      <c r="C89" t="str">
        <f t="shared" ref="C89:C152" si="51">MID(V89,A89+1,9)</f>
        <v>191]</v>
      </c>
      <c r="D89">
        <f t="shared" si="41"/>
        <v>4</v>
      </c>
      <c r="E89" t="str">
        <f t="shared" ref="E89:E152" si="52">MID(C89,1,D89-1)</f>
        <v>191</v>
      </c>
      <c r="F89" t="str">
        <f t="shared" ref="F89:F152" si="53">IF(ISERROR(D89),0,E89)</f>
        <v>191</v>
      </c>
      <c r="G89">
        <f t="shared" ref="G89:G152" si="54">FIND(",",H89)</f>
        <v>6</v>
      </c>
      <c r="H89" t="s">
        <v>352</v>
      </c>
      <c r="I89" t="str">
        <f t="shared" si="37"/>
        <v/>
      </c>
      <c r="J89" t="str">
        <f t="shared" si="38"/>
        <v/>
      </c>
      <c r="K89">
        <f t="shared" si="39"/>
        <v>22</v>
      </c>
      <c r="L89" t="str">
        <f t="shared" si="46"/>
        <v>|1,Famous Places &amp; Things [191]</v>
      </c>
      <c r="N89" t="str">
        <f t="shared" ref="N89:N152" si="55">MID(W89,1,2)</f>
        <v>Fa</v>
      </c>
      <c r="O89">
        <f t="shared" ref="O89:O152" si="56">Z89-Y89</f>
        <v>1</v>
      </c>
      <c r="P89" t="str">
        <f t="shared" si="47"/>
        <v>Ge/Fa</v>
      </c>
      <c r="Q89" s="1" t="str">
        <f t="shared" si="48"/>
        <v>Famous Places &amp; Things [191]</v>
      </c>
      <c r="R89" s="2" t="str">
        <f t="shared" si="42"/>
        <v>&lt;li&gt;&lt;input type='checkbox'class= 'ckbx' name='191'value='Ge/Fa'&gt; _ _ Famous Places &amp; Things [191]&lt;/li&gt;</v>
      </c>
      <c r="T89" t="str">
        <f t="shared" si="45"/>
        <v>&amp;nbsp;&amp;nbsp;</v>
      </c>
      <c r="U89" t="str">
        <f t="shared" si="40"/>
        <v xml:space="preserve"> _ _ </v>
      </c>
      <c r="V89" s="1" t="s">
        <v>78</v>
      </c>
      <c r="W89" t="str">
        <f t="shared" si="35"/>
        <v>Famous Places &amp; Things [191]</v>
      </c>
      <c r="X89" t="str">
        <f t="shared" si="43"/>
        <v>Fa</v>
      </c>
      <c r="Y89">
        <f t="shared" si="44"/>
        <v>28</v>
      </c>
      <c r="Z89">
        <f t="shared" si="36"/>
        <v>29</v>
      </c>
      <c r="AA89">
        <f t="shared" si="34"/>
        <v>1</v>
      </c>
    </row>
    <row r="90" spans="1:27" x14ac:dyDescent="0.25">
      <c r="A90">
        <f t="shared" si="49"/>
        <v>32</v>
      </c>
      <c r="B90">
        <f t="shared" si="50"/>
        <v>34</v>
      </c>
      <c r="C90" t="str">
        <f t="shared" si="51"/>
        <v>8]</v>
      </c>
      <c r="D90">
        <f t="shared" si="41"/>
        <v>2</v>
      </c>
      <c r="E90" t="str">
        <f t="shared" si="52"/>
        <v>8</v>
      </c>
      <c r="F90" t="str">
        <f t="shared" si="53"/>
        <v>8</v>
      </c>
      <c r="G90">
        <f t="shared" si="54"/>
        <v>6</v>
      </c>
      <c r="H90" t="s">
        <v>353</v>
      </c>
      <c r="I90" t="str">
        <f t="shared" si="37"/>
        <v/>
      </c>
      <c r="J90" t="str">
        <f t="shared" si="38"/>
        <v/>
      </c>
      <c r="K90">
        <f t="shared" si="39"/>
        <v>22</v>
      </c>
      <c r="L90" t="str">
        <f t="shared" si="46"/>
        <v>|1,Geographic Points of Interest [8]</v>
      </c>
      <c r="N90" t="str">
        <f t="shared" si="55"/>
        <v>Ge</v>
      </c>
      <c r="O90">
        <f t="shared" si="56"/>
        <v>1</v>
      </c>
      <c r="P90" t="str">
        <f t="shared" si="47"/>
        <v>Ge/Ge</v>
      </c>
      <c r="Q90" s="1" t="str">
        <f t="shared" si="48"/>
        <v>Geographic Points of Interest [8]</v>
      </c>
      <c r="R90" s="2" t="str">
        <f t="shared" si="42"/>
        <v>&lt;li&gt;&lt;input type='checkbox'class= 'ckbx' name='8'value='Ge/Ge'&gt; _ _ Geographic Points of Interest [8]&lt;/li&gt;</v>
      </c>
      <c r="T90" t="str">
        <f t="shared" si="45"/>
        <v>&amp;nbsp;&amp;nbsp;</v>
      </c>
      <c r="U90" t="str">
        <f t="shared" si="40"/>
        <v xml:space="preserve"> _ _ </v>
      </c>
      <c r="V90" s="1" t="s">
        <v>79</v>
      </c>
      <c r="W90" t="str">
        <f t="shared" si="35"/>
        <v>Geographic Points of Interest [8]</v>
      </c>
      <c r="X90" t="str">
        <f t="shared" si="43"/>
        <v>Ge</v>
      </c>
      <c r="Y90">
        <f t="shared" si="44"/>
        <v>33</v>
      </c>
      <c r="Z90">
        <f t="shared" si="36"/>
        <v>34</v>
      </c>
      <c r="AA90">
        <f t="shared" si="34"/>
        <v>1</v>
      </c>
    </row>
    <row r="91" spans="1:27" x14ac:dyDescent="0.25">
      <c r="A91">
        <f t="shared" si="49"/>
        <v>18</v>
      </c>
      <c r="B91">
        <f t="shared" si="50"/>
        <v>21</v>
      </c>
      <c r="C91" t="str">
        <f t="shared" si="51"/>
        <v>26]</v>
      </c>
      <c r="D91">
        <f t="shared" si="41"/>
        <v>3</v>
      </c>
      <c r="E91" t="str">
        <f t="shared" si="52"/>
        <v>26</v>
      </c>
      <c r="F91" t="str">
        <f t="shared" si="53"/>
        <v>26</v>
      </c>
      <c r="G91">
        <f t="shared" si="54"/>
        <v>6</v>
      </c>
      <c r="H91" t="s">
        <v>354</v>
      </c>
      <c r="I91" t="str">
        <f t="shared" si="37"/>
        <v/>
      </c>
      <c r="J91" t="str">
        <f t="shared" si="38"/>
        <v/>
      </c>
      <c r="K91">
        <f t="shared" si="39"/>
        <v>22</v>
      </c>
      <c r="L91" t="str">
        <f t="shared" si="46"/>
        <v>|1,Natural Wonders [26]</v>
      </c>
      <c r="N91" t="str">
        <f t="shared" si="55"/>
        <v>Na</v>
      </c>
      <c r="O91">
        <f t="shared" si="56"/>
        <v>1</v>
      </c>
      <c r="P91" t="str">
        <f t="shared" si="47"/>
        <v>Ge/Na</v>
      </c>
      <c r="Q91" s="1" t="str">
        <f t="shared" si="48"/>
        <v>Natural Wonders [26]</v>
      </c>
      <c r="R91" s="2" t="str">
        <f t="shared" si="42"/>
        <v>&lt;li&gt;&lt;input type='checkbox'class= 'ckbx' name='26'value='Ge/Na'&gt; _ _ Natural Wonders [26]&lt;/li&gt;</v>
      </c>
      <c r="T91" t="str">
        <f t="shared" si="45"/>
        <v>&amp;nbsp;&amp;nbsp;</v>
      </c>
      <c r="U91" t="str">
        <f t="shared" si="40"/>
        <v xml:space="preserve"> _ _ </v>
      </c>
      <c r="V91" s="1" t="s">
        <v>80</v>
      </c>
      <c r="W91" t="str">
        <f t="shared" si="35"/>
        <v>Natural Wonders [26]</v>
      </c>
      <c r="X91" t="str">
        <f t="shared" si="43"/>
        <v>Na</v>
      </c>
      <c r="Y91">
        <f t="shared" si="44"/>
        <v>20</v>
      </c>
      <c r="Z91">
        <f t="shared" si="36"/>
        <v>21</v>
      </c>
      <c r="AA91">
        <f t="shared" si="34"/>
        <v>1</v>
      </c>
    </row>
    <row r="92" spans="1:27" x14ac:dyDescent="0.25">
      <c r="A92">
        <f t="shared" si="49"/>
        <v>20</v>
      </c>
      <c r="B92">
        <f t="shared" si="50"/>
        <v>24</v>
      </c>
      <c r="C92" t="str">
        <f t="shared" si="51"/>
        <v>172]</v>
      </c>
      <c r="D92">
        <f t="shared" si="41"/>
        <v>4</v>
      </c>
      <c r="E92" t="str">
        <f t="shared" si="52"/>
        <v>172</v>
      </c>
      <c r="F92" t="str">
        <f t="shared" si="53"/>
        <v>172</v>
      </c>
      <c r="G92">
        <f t="shared" si="54"/>
        <v>6</v>
      </c>
      <c r="H92" t="s">
        <v>355</v>
      </c>
      <c r="I92" t="str">
        <f t="shared" si="37"/>
        <v/>
      </c>
      <c r="J92" t="str">
        <f t="shared" si="38"/>
        <v/>
      </c>
      <c r="K92">
        <f t="shared" si="39"/>
        <v>22</v>
      </c>
      <c r="L92" t="str">
        <f t="shared" si="46"/>
        <v>|1,Parks &amp; Monuments [172]</v>
      </c>
      <c r="N92" t="str">
        <f t="shared" si="55"/>
        <v>Pa</v>
      </c>
      <c r="O92">
        <f t="shared" si="56"/>
        <v>1</v>
      </c>
      <c r="P92" t="str">
        <f t="shared" si="47"/>
        <v>Ge/Pa</v>
      </c>
      <c r="Q92" s="1" t="str">
        <f t="shared" si="48"/>
        <v>Parks &amp; Monuments [172]</v>
      </c>
      <c r="R92" s="2" t="str">
        <f t="shared" si="42"/>
        <v>&lt;li&gt;&lt;input type='checkbox'class= 'ckbx' name='172'value='Ge/Pa'&gt; _ _ Parks &amp; Monuments [172]&lt;/li&gt;</v>
      </c>
      <c r="T92" t="str">
        <f t="shared" si="45"/>
        <v>&amp;nbsp;&amp;nbsp;</v>
      </c>
      <c r="U92" t="str">
        <f t="shared" si="40"/>
        <v xml:space="preserve"> _ _ </v>
      </c>
      <c r="V92" s="1" t="s">
        <v>81</v>
      </c>
      <c r="W92" t="str">
        <f t="shared" si="35"/>
        <v>Parks &amp; Monuments [172]</v>
      </c>
      <c r="X92" t="str">
        <f t="shared" si="43"/>
        <v>Pa</v>
      </c>
      <c r="Y92">
        <f t="shared" si="44"/>
        <v>23</v>
      </c>
      <c r="Z92">
        <f t="shared" si="36"/>
        <v>24</v>
      </c>
      <c r="AA92">
        <f t="shared" si="34"/>
        <v>1</v>
      </c>
    </row>
    <row r="93" spans="1:27" x14ac:dyDescent="0.25">
      <c r="A93">
        <f t="shared" si="49"/>
        <v>16</v>
      </c>
      <c r="B93">
        <f t="shared" si="50"/>
        <v>18</v>
      </c>
      <c r="C93" t="str">
        <f t="shared" si="51"/>
        <v>3]</v>
      </c>
      <c r="D93">
        <f t="shared" si="41"/>
        <v>2</v>
      </c>
      <c r="E93" t="str">
        <f t="shared" si="52"/>
        <v>3</v>
      </c>
      <c r="F93" t="str">
        <f t="shared" si="53"/>
        <v>3</v>
      </c>
      <c r="G93">
        <f t="shared" si="54"/>
        <v>6</v>
      </c>
      <c r="H93" t="s">
        <v>356</v>
      </c>
      <c r="I93" t="str">
        <f t="shared" si="37"/>
        <v/>
      </c>
      <c r="J93" t="str">
        <f t="shared" si="38"/>
        <v/>
      </c>
      <c r="K93">
        <f t="shared" si="39"/>
        <v>22</v>
      </c>
      <c r="L93" t="str">
        <f t="shared" si="46"/>
        <v>|1,South America [3]</v>
      </c>
      <c r="N93" t="str">
        <f t="shared" si="55"/>
        <v>So</v>
      </c>
      <c r="O93">
        <f t="shared" si="56"/>
        <v>1</v>
      </c>
      <c r="P93" t="str">
        <f t="shared" si="47"/>
        <v>Ge/So</v>
      </c>
      <c r="Q93" s="1" t="str">
        <f t="shared" si="48"/>
        <v>South America [3]</v>
      </c>
      <c r="R93" s="2" t="str">
        <f t="shared" si="42"/>
        <v>&lt;li&gt;&lt;input type='checkbox'class= 'ckbx' name='3'value='Ge/So'&gt; _ _ South America [3]&lt;/li&gt;</v>
      </c>
      <c r="T93" t="str">
        <f t="shared" si="45"/>
        <v>&amp;nbsp;&amp;nbsp;</v>
      </c>
      <c r="U93" t="str">
        <f t="shared" si="40"/>
        <v xml:space="preserve"> _ _ </v>
      </c>
      <c r="V93" s="1" t="s">
        <v>82</v>
      </c>
      <c r="W93" t="str">
        <f t="shared" si="35"/>
        <v>South America [3]</v>
      </c>
      <c r="X93" t="str">
        <f t="shared" si="43"/>
        <v>So</v>
      </c>
      <c r="Y93">
        <f t="shared" si="44"/>
        <v>17</v>
      </c>
      <c r="Z93">
        <f t="shared" si="36"/>
        <v>18</v>
      </c>
      <c r="AA93">
        <f t="shared" si="34"/>
        <v>1</v>
      </c>
    </row>
    <row r="94" spans="1:27" x14ac:dyDescent="0.25">
      <c r="A94">
        <f t="shared" si="49"/>
        <v>9</v>
      </c>
      <c r="B94">
        <f t="shared" si="50"/>
        <v>13</v>
      </c>
      <c r="C94" t="str">
        <f t="shared" si="51"/>
        <v>871]</v>
      </c>
      <c r="D94">
        <f t="shared" si="41"/>
        <v>4</v>
      </c>
      <c r="E94" t="str">
        <f t="shared" si="52"/>
        <v>871</v>
      </c>
      <c r="F94" t="str">
        <f t="shared" si="53"/>
        <v>871</v>
      </c>
      <c r="G94">
        <f t="shared" si="54"/>
        <v>6</v>
      </c>
      <c r="H94" t="s">
        <v>357</v>
      </c>
      <c r="I94" t="str">
        <f t="shared" si="37"/>
        <v/>
      </c>
      <c r="J94" t="str">
        <f t="shared" si="38"/>
        <v/>
      </c>
      <c r="K94">
        <f t="shared" si="39"/>
        <v>22</v>
      </c>
      <c r="L94" t="str">
        <f t="shared" si="46"/>
        <v>|1,States [871]</v>
      </c>
      <c r="N94" t="str">
        <f t="shared" si="55"/>
        <v>St</v>
      </c>
      <c r="O94">
        <f t="shared" si="56"/>
        <v>1</v>
      </c>
      <c r="P94" t="str">
        <f t="shared" si="47"/>
        <v>Ge/St</v>
      </c>
      <c r="Q94" s="1" t="str">
        <f t="shared" si="48"/>
        <v>States [871]</v>
      </c>
      <c r="R94" s="2" t="str">
        <f t="shared" si="42"/>
        <v>&lt;li&gt;&lt;input type='checkbox'class= 'ckbx' name='871'value='Ge/St'&gt; _ _ States [871]&lt;/li&gt;</v>
      </c>
      <c r="T94" t="str">
        <f t="shared" si="45"/>
        <v>&amp;nbsp;&amp;nbsp;</v>
      </c>
      <c r="U94" t="str">
        <f t="shared" si="40"/>
        <v xml:space="preserve"> _ _ </v>
      </c>
      <c r="V94" s="1" t="s">
        <v>83</v>
      </c>
      <c r="W94" t="str">
        <f t="shared" si="35"/>
        <v>States [871]</v>
      </c>
      <c r="X94" t="str">
        <f t="shared" si="43"/>
        <v>St</v>
      </c>
      <c r="Y94">
        <f t="shared" si="44"/>
        <v>12</v>
      </c>
      <c r="Z94">
        <f t="shared" si="36"/>
        <v>13</v>
      </c>
      <c r="AA94">
        <f t="shared" si="34"/>
        <v>1</v>
      </c>
    </row>
    <row r="95" spans="1:27" x14ac:dyDescent="0.25">
      <c r="A95">
        <f t="shared" si="49"/>
        <v>13</v>
      </c>
      <c r="B95">
        <f t="shared" si="50"/>
        <v>16</v>
      </c>
      <c r="C95" t="str">
        <f t="shared" si="51"/>
        <v>84]</v>
      </c>
      <c r="D95">
        <f t="shared" si="41"/>
        <v>3</v>
      </c>
      <c r="E95" t="str">
        <f t="shared" si="52"/>
        <v>84</v>
      </c>
      <c r="F95" t="str">
        <f t="shared" si="53"/>
        <v>84</v>
      </c>
      <c r="G95">
        <f t="shared" si="54"/>
        <v>9</v>
      </c>
      <c r="H95" t="s">
        <v>358</v>
      </c>
      <c r="I95" t="str">
        <f t="shared" si="37"/>
        <v/>
      </c>
      <c r="J95" t="str">
        <f t="shared" si="38"/>
        <v/>
      </c>
      <c r="K95">
        <f t="shared" si="39"/>
        <v>20</v>
      </c>
      <c r="L95" t="str">
        <f t="shared" si="46"/>
        <v>|2,AK-Alaska [84]</v>
      </c>
      <c r="N95" t="str">
        <f t="shared" si="55"/>
        <v>AK</v>
      </c>
      <c r="O95">
        <f t="shared" si="56"/>
        <v>2</v>
      </c>
      <c r="P95" t="str">
        <f t="shared" si="47"/>
        <v>Ge/St/AK</v>
      </c>
      <c r="Q95" s="1" t="str">
        <f t="shared" si="48"/>
        <v>AK-Alaska [84]</v>
      </c>
      <c r="R95" s="2" t="str">
        <f t="shared" si="42"/>
        <v>&lt;li&gt;&lt;input type='checkbox'class= 'ckbx' name='84'value='Ge/St/AK'&gt; _ _ _ _AK-Alaska [84]&lt;/li&gt;</v>
      </c>
      <c r="T95" t="str">
        <f t="shared" si="45"/>
        <v>&amp;nbsp;&amp;nbsp;&amp;nbsp;&amp;nbsp;</v>
      </c>
      <c r="U95" t="str">
        <f t="shared" si="40"/>
        <v xml:space="preserve"> _ _ _ _</v>
      </c>
      <c r="V95" s="1" t="s">
        <v>84</v>
      </c>
      <c r="W95" t="str">
        <f t="shared" si="35"/>
        <v>AK-Alaska [84]</v>
      </c>
      <c r="X95" t="str">
        <f t="shared" si="43"/>
        <v>AK</v>
      </c>
      <c r="Y95">
        <f t="shared" si="44"/>
        <v>14</v>
      </c>
      <c r="Z95">
        <f t="shared" si="36"/>
        <v>16</v>
      </c>
      <c r="AA95">
        <f t="shared" si="34"/>
        <v>2</v>
      </c>
    </row>
    <row r="96" spans="1:27" x14ac:dyDescent="0.25">
      <c r="A96">
        <f t="shared" si="49"/>
        <v>14</v>
      </c>
      <c r="B96">
        <f t="shared" si="50"/>
        <v>17</v>
      </c>
      <c r="C96" t="str">
        <f t="shared" si="51"/>
        <v>53]</v>
      </c>
      <c r="D96">
        <f t="shared" si="41"/>
        <v>3</v>
      </c>
      <c r="E96" t="str">
        <f t="shared" si="52"/>
        <v>53</v>
      </c>
      <c r="F96" t="str">
        <f t="shared" si="53"/>
        <v>53</v>
      </c>
      <c r="G96">
        <f t="shared" si="54"/>
        <v>9</v>
      </c>
      <c r="H96" t="s">
        <v>359</v>
      </c>
      <c r="I96" t="str">
        <f t="shared" si="37"/>
        <v/>
      </c>
      <c r="J96" t="str">
        <f t="shared" si="38"/>
        <v/>
      </c>
      <c r="K96">
        <f t="shared" si="39"/>
        <v>20</v>
      </c>
      <c r="L96" t="str">
        <f t="shared" si="46"/>
        <v>|2,AL-Alabama [53]</v>
      </c>
      <c r="N96" t="str">
        <f t="shared" si="55"/>
        <v>AL</v>
      </c>
      <c r="O96">
        <f t="shared" si="56"/>
        <v>2</v>
      </c>
      <c r="P96" t="str">
        <f t="shared" si="47"/>
        <v>Ge/St/AL</v>
      </c>
      <c r="Q96" s="1" t="str">
        <f t="shared" si="48"/>
        <v>AL-Alabama [53]</v>
      </c>
      <c r="R96" s="2" t="str">
        <f t="shared" si="42"/>
        <v>&lt;li&gt;&lt;input type='checkbox'class= 'ckbx' name='53'value='Ge/St/AL'&gt; _ _ _ _AL-Alabama [53]&lt;/li&gt;</v>
      </c>
      <c r="T96" t="str">
        <f t="shared" si="45"/>
        <v>&amp;nbsp;&amp;nbsp;&amp;nbsp;&amp;nbsp;</v>
      </c>
      <c r="U96" t="str">
        <f t="shared" si="40"/>
        <v xml:space="preserve"> _ _ _ _</v>
      </c>
      <c r="V96" s="1" t="s">
        <v>85</v>
      </c>
      <c r="W96" t="str">
        <f t="shared" si="35"/>
        <v>AL-Alabama [53]</v>
      </c>
      <c r="X96" t="str">
        <f t="shared" si="43"/>
        <v>AL</v>
      </c>
      <c r="Y96">
        <f t="shared" si="44"/>
        <v>15</v>
      </c>
      <c r="Z96">
        <f t="shared" si="36"/>
        <v>17</v>
      </c>
      <c r="AA96">
        <f t="shared" si="34"/>
        <v>2</v>
      </c>
    </row>
    <row r="97" spans="1:27" x14ac:dyDescent="0.25">
      <c r="A97">
        <f t="shared" si="49"/>
        <v>15</v>
      </c>
      <c r="B97">
        <f t="shared" si="50"/>
        <v>18</v>
      </c>
      <c r="C97" t="str">
        <f t="shared" si="51"/>
        <v>51]</v>
      </c>
      <c r="D97">
        <f t="shared" si="41"/>
        <v>3</v>
      </c>
      <c r="E97" t="str">
        <f t="shared" si="52"/>
        <v>51</v>
      </c>
      <c r="F97" t="str">
        <f t="shared" si="53"/>
        <v>51</v>
      </c>
      <c r="G97">
        <f t="shared" si="54"/>
        <v>9</v>
      </c>
      <c r="H97" t="s">
        <v>360</v>
      </c>
      <c r="I97" t="str">
        <f t="shared" si="37"/>
        <v/>
      </c>
      <c r="J97" t="str">
        <f t="shared" si="38"/>
        <v/>
      </c>
      <c r="K97">
        <f t="shared" si="39"/>
        <v>20</v>
      </c>
      <c r="L97" t="str">
        <f t="shared" si="46"/>
        <v>|2,AR-Arkansas [51]</v>
      </c>
      <c r="N97" t="str">
        <f t="shared" si="55"/>
        <v>AR</v>
      </c>
      <c r="O97">
        <f t="shared" si="56"/>
        <v>2</v>
      </c>
      <c r="P97" t="str">
        <f t="shared" si="47"/>
        <v>Ge/St/AR</v>
      </c>
      <c r="Q97" s="1" t="str">
        <f t="shared" si="48"/>
        <v>AR-Arkansas [51]</v>
      </c>
      <c r="R97" s="2" t="str">
        <f t="shared" si="42"/>
        <v>&lt;li&gt;&lt;input type='checkbox'class= 'ckbx' name='51'value='Ge/St/AR'&gt; _ _ _ _AR-Arkansas [51]&lt;/li&gt;</v>
      </c>
      <c r="T97" t="str">
        <f t="shared" si="45"/>
        <v>&amp;nbsp;&amp;nbsp;&amp;nbsp;&amp;nbsp;</v>
      </c>
      <c r="U97" t="str">
        <f t="shared" si="40"/>
        <v xml:space="preserve"> _ _ _ _</v>
      </c>
      <c r="V97" s="1" t="s">
        <v>86</v>
      </c>
      <c r="W97" t="str">
        <f t="shared" si="35"/>
        <v>AR-Arkansas [51]</v>
      </c>
      <c r="X97" t="str">
        <f t="shared" si="43"/>
        <v>AR</v>
      </c>
      <c r="Y97">
        <f t="shared" si="44"/>
        <v>16</v>
      </c>
      <c r="Z97">
        <f t="shared" si="36"/>
        <v>18</v>
      </c>
      <c r="AA97">
        <f t="shared" si="34"/>
        <v>2</v>
      </c>
    </row>
    <row r="98" spans="1:27" x14ac:dyDescent="0.25">
      <c r="A98">
        <f t="shared" si="49"/>
        <v>14</v>
      </c>
      <c r="B98">
        <f t="shared" si="50"/>
        <v>17</v>
      </c>
      <c r="C98" t="str">
        <f t="shared" si="51"/>
        <v>52]</v>
      </c>
      <c r="D98">
        <f t="shared" si="41"/>
        <v>3</v>
      </c>
      <c r="E98" t="str">
        <f t="shared" si="52"/>
        <v>52</v>
      </c>
      <c r="F98" t="str">
        <f t="shared" si="53"/>
        <v>52</v>
      </c>
      <c r="G98">
        <f t="shared" si="54"/>
        <v>9</v>
      </c>
      <c r="H98" t="s">
        <v>361</v>
      </c>
      <c r="I98" t="str">
        <f t="shared" si="37"/>
        <v/>
      </c>
      <c r="J98" t="str">
        <f t="shared" si="38"/>
        <v/>
      </c>
      <c r="K98">
        <f t="shared" si="39"/>
        <v>20</v>
      </c>
      <c r="L98" t="str">
        <f t="shared" si="46"/>
        <v>|2,AZ-Arizona [52]</v>
      </c>
      <c r="N98" t="str">
        <f t="shared" si="55"/>
        <v>AZ</v>
      </c>
      <c r="O98">
        <f t="shared" si="56"/>
        <v>2</v>
      </c>
      <c r="P98" t="str">
        <f t="shared" si="47"/>
        <v>Ge/St/AZ</v>
      </c>
      <c r="Q98" s="1" t="str">
        <f t="shared" si="48"/>
        <v>AZ-Arizona [52]</v>
      </c>
      <c r="R98" s="2" t="str">
        <f t="shared" si="42"/>
        <v>&lt;li&gt;&lt;input type='checkbox'class= 'ckbx' name='52'value='Ge/St/AZ'&gt; _ _ _ _AZ-Arizona [52]&lt;/li&gt;</v>
      </c>
      <c r="T98" t="str">
        <f t="shared" si="45"/>
        <v>&amp;nbsp;&amp;nbsp;&amp;nbsp;&amp;nbsp;</v>
      </c>
      <c r="U98" t="str">
        <f t="shared" si="40"/>
        <v xml:space="preserve"> _ _ _ _</v>
      </c>
      <c r="V98" s="1" t="s">
        <v>87</v>
      </c>
      <c r="W98" t="str">
        <f t="shared" si="35"/>
        <v>AZ-Arizona [52]</v>
      </c>
      <c r="X98" t="str">
        <f t="shared" si="43"/>
        <v>AZ</v>
      </c>
      <c r="Y98">
        <f t="shared" si="44"/>
        <v>15</v>
      </c>
      <c r="Z98">
        <f t="shared" si="36"/>
        <v>17</v>
      </c>
      <c r="AA98">
        <f t="shared" ref="AA98:AA161" si="57">Z98-Y98</f>
        <v>2</v>
      </c>
    </row>
    <row r="99" spans="1:27" x14ac:dyDescent="0.25">
      <c r="A99">
        <f t="shared" si="49"/>
        <v>17</v>
      </c>
      <c r="B99">
        <f t="shared" si="50"/>
        <v>20</v>
      </c>
      <c r="C99" t="str">
        <f t="shared" si="51"/>
        <v>42]</v>
      </c>
      <c r="D99">
        <f t="shared" si="41"/>
        <v>3</v>
      </c>
      <c r="E99" t="str">
        <f t="shared" si="52"/>
        <v>42</v>
      </c>
      <c r="F99" t="str">
        <f t="shared" si="53"/>
        <v>42</v>
      </c>
      <c r="G99">
        <f t="shared" si="54"/>
        <v>9</v>
      </c>
      <c r="H99" t="s">
        <v>362</v>
      </c>
      <c r="I99" t="str">
        <f t="shared" si="37"/>
        <v/>
      </c>
      <c r="J99" t="str">
        <f t="shared" si="38"/>
        <v/>
      </c>
      <c r="K99">
        <f t="shared" si="39"/>
        <v>20</v>
      </c>
      <c r="L99" t="str">
        <f t="shared" si="46"/>
        <v>|2,CA-California [42]</v>
      </c>
      <c r="N99" t="str">
        <f t="shared" si="55"/>
        <v>CA</v>
      </c>
      <c r="O99">
        <f t="shared" si="56"/>
        <v>2</v>
      </c>
      <c r="P99" t="str">
        <f t="shared" si="47"/>
        <v>Ge/St/CA</v>
      </c>
      <c r="Q99" s="1" t="str">
        <f t="shared" si="48"/>
        <v>CA-California [42]</v>
      </c>
      <c r="R99" s="2" t="str">
        <f t="shared" si="42"/>
        <v>&lt;li&gt;&lt;input type='checkbox'class= 'ckbx' name='42'value='Ge/St/CA'&gt; _ _ _ _CA-California [42]&lt;/li&gt;</v>
      </c>
      <c r="T99" t="str">
        <f t="shared" si="45"/>
        <v>&amp;nbsp;&amp;nbsp;&amp;nbsp;&amp;nbsp;</v>
      </c>
      <c r="U99" t="str">
        <f t="shared" si="40"/>
        <v xml:space="preserve"> _ _ _ _</v>
      </c>
      <c r="V99" s="1" t="s">
        <v>88</v>
      </c>
      <c r="W99" t="str">
        <f t="shared" si="35"/>
        <v>CA-California [42]</v>
      </c>
      <c r="X99" t="str">
        <f t="shared" si="43"/>
        <v>CA</v>
      </c>
      <c r="Y99">
        <f t="shared" si="44"/>
        <v>18</v>
      </c>
      <c r="Z99">
        <f t="shared" si="36"/>
        <v>20</v>
      </c>
      <c r="AA99">
        <f t="shared" si="57"/>
        <v>2</v>
      </c>
    </row>
    <row r="100" spans="1:27" x14ac:dyDescent="0.25">
      <c r="A100">
        <f t="shared" si="49"/>
        <v>15</v>
      </c>
      <c r="B100">
        <f t="shared" si="50"/>
        <v>18</v>
      </c>
      <c r="C100" t="str">
        <f t="shared" si="51"/>
        <v>46]</v>
      </c>
      <c r="D100">
        <f t="shared" si="41"/>
        <v>3</v>
      </c>
      <c r="E100" t="str">
        <f t="shared" si="52"/>
        <v>46</v>
      </c>
      <c r="F100" t="str">
        <f t="shared" si="53"/>
        <v>46</v>
      </c>
      <c r="G100">
        <f t="shared" si="54"/>
        <v>9</v>
      </c>
      <c r="H100" t="s">
        <v>363</v>
      </c>
      <c r="I100" t="str">
        <f t="shared" si="37"/>
        <v/>
      </c>
      <c r="J100" t="str">
        <f t="shared" si="38"/>
        <v/>
      </c>
      <c r="K100">
        <f t="shared" si="39"/>
        <v>20</v>
      </c>
      <c r="L100" t="str">
        <f t="shared" si="46"/>
        <v>|2,CO-Colorado [46]</v>
      </c>
      <c r="N100" t="str">
        <f t="shared" si="55"/>
        <v>CO</v>
      </c>
      <c r="O100">
        <f t="shared" si="56"/>
        <v>2</v>
      </c>
      <c r="P100" t="str">
        <f t="shared" si="47"/>
        <v>Ge/St/CO</v>
      </c>
      <c r="Q100" s="1" t="str">
        <f t="shared" si="48"/>
        <v>CO-Colorado [46]</v>
      </c>
      <c r="R100" s="2" t="str">
        <f t="shared" si="42"/>
        <v>&lt;li&gt;&lt;input type='checkbox'class= 'ckbx' name='46'value='Ge/St/CO'&gt; _ _ _ _CO-Colorado [46]&lt;/li&gt;</v>
      </c>
      <c r="T100" t="str">
        <f t="shared" si="45"/>
        <v>&amp;nbsp;&amp;nbsp;&amp;nbsp;&amp;nbsp;</v>
      </c>
      <c r="U100" t="str">
        <f t="shared" si="40"/>
        <v xml:space="preserve"> _ _ _ _</v>
      </c>
      <c r="V100" s="1" t="s">
        <v>89</v>
      </c>
      <c r="W100" t="str">
        <f t="shared" si="35"/>
        <v>CO-Colorado [46]</v>
      </c>
      <c r="X100" t="str">
        <f t="shared" si="43"/>
        <v>CO</v>
      </c>
      <c r="Y100">
        <f t="shared" si="44"/>
        <v>16</v>
      </c>
      <c r="Z100">
        <f t="shared" si="36"/>
        <v>18</v>
      </c>
      <c r="AA100">
        <f t="shared" si="57"/>
        <v>2</v>
      </c>
    </row>
    <row r="101" spans="1:27" x14ac:dyDescent="0.25">
      <c r="A101">
        <f t="shared" si="49"/>
        <v>18</v>
      </c>
      <c r="B101">
        <f t="shared" si="50"/>
        <v>21</v>
      </c>
      <c r="C101" t="str">
        <f t="shared" si="51"/>
        <v>49]</v>
      </c>
      <c r="D101">
        <f t="shared" si="41"/>
        <v>3</v>
      </c>
      <c r="E101" t="str">
        <f t="shared" si="52"/>
        <v>49</v>
      </c>
      <c r="F101" t="str">
        <f t="shared" si="53"/>
        <v>49</v>
      </c>
      <c r="G101">
        <f t="shared" si="54"/>
        <v>9</v>
      </c>
      <c r="H101" t="s">
        <v>364</v>
      </c>
      <c r="I101" t="str">
        <f t="shared" si="37"/>
        <v/>
      </c>
      <c r="J101" t="str">
        <f t="shared" si="38"/>
        <v/>
      </c>
      <c r="K101">
        <f t="shared" si="39"/>
        <v>20</v>
      </c>
      <c r="L101" t="str">
        <f t="shared" si="46"/>
        <v>|2,CT-Connecticut [49]</v>
      </c>
      <c r="N101" t="str">
        <f t="shared" si="55"/>
        <v>CT</v>
      </c>
      <c r="O101">
        <f t="shared" si="56"/>
        <v>2</v>
      </c>
      <c r="P101" t="str">
        <f t="shared" si="47"/>
        <v>Ge/St/CT</v>
      </c>
      <c r="Q101" s="1" t="str">
        <f t="shared" si="48"/>
        <v>CT-Connecticut [49]</v>
      </c>
      <c r="R101" s="2" t="str">
        <f t="shared" si="42"/>
        <v>&lt;li&gt;&lt;input type='checkbox'class= 'ckbx' name='49'value='Ge/St/CT'&gt; _ _ _ _CT-Connecticut [49]&lt;/li&gt;</v>
      </c>
      <c r="T101" t="str">
        <f t="shared" si="45"/>
        <v>&amp;nbsp;&amp;nbsp;&amp;nbsp;&amp;nbsp;</v>
      </c>
      <c r="U101" t="str">
        <f t="shared" si="40"/>
        <v xml:space="preserve"> _ _ _ _</v>
      </c>
      <c r="V101" s="1" t="s">
        <v>90</v>
      </c>
      <c r="W101" t="str">
        <f t="shared" si="35"/>
        <v>CT-Connecticut [49]</v>
      </c>
      <c r="X101" t="str">
        <f t="shared" si="43"/>
        <v>CT</v>
      </c>
      <c r="Y101">
        <f t="shared" si="44"/>
        <v>19</v>
      </c>
      <c r="Z101">
        <f t="shared" si="36"/>
        <v>21</v>
      </c>
      <c r="AA101">
        <f t="shared" si="57"/>
        <v>2</v>
      </c>
    </row>
    <row r="102" spans="1:27" x14ac:dyDescent="0.25">
      <c r="A102">
        <f t="shared" si="49"/>
        <v>15</v>
      </c>
      <c r="B102">
        <f t="shared" si="50"/>
        <v>18</v>
      </c>
      <c r="C102" t="str">
        <f t="shared" si="51"/>
        <v>43]</v>
      </c>
      <c r="D102">
        <f t="shared" si="41"/>
        <v>3</v>
      </c>
      <c r="E102" t="str">
        <f t="shared" si="52"/>
        <v>43</v>
      </c>
      <c r="F102" t="str">
        <f t="shared" si="53"/>
        <v>43</v>
      </c>
      <c r="G102">
        <f t="shared" si="54"/>
        <v>9</v>
      </c>
      <c r="H102" t="s">
        <v>365</v>
      </c>
      <c r="I102" t="str">
        <f t="shared" si="37"/>
        <v/>
      </c>
      <c r="J102" t="str">
        <f t="shared" si="38"/>
        <v/>
      </c>
      <c r="K102">
        <f t="shared" si="39"/>
        <v>20</v>
      </c>
      <c r="L102" t="str">
        <f t="shared" si="46"/>
        <v>|2,DE-Delaware [43]</v>
      </c>
      <c r="N102" t="str">
        <f t="shared" si="55"/>
        <v>DE</v>
      </c>
      <c r="O102">
        <f t="shared" si="56"/>
        <v>2</v>
      </c>
      <c r="P102" t="str">
        <f t="shared" si="47"/>
        <v>Ge/St/DE</v>
      </c>
      <c r="Q102" s="1" t="str">
        <f t="shared" si="48"/>
        <v>DE-Delaware [43]</v>
      </c>
      <c r="R102" s="2" t="str">
        <f t="shared" si="42"/>
        <v>&lt;li&gt;&lt;input type='checkbox'class= 'ckbx' name='43'value='Ge/St/DE'&gt; _ _ _ _DE-Delaware [43]&lt;/li&gt;</v>
      </c>
      <c r="T102" t="str">
        <f t="shared" si="45"/>
        <v>&amp;nbsp;&amp;nbsp;&amp;nbsp;&amp;nbsp;</v>
      </c>
      <c r="U102" t="str">
        <f t="shared" si="40"/>
        <v xml:space="preserve"> _ _ _ _</v>
      </c>
      <c r="V102" s="1" t="s">
        <v>91</v>
      </c>
      <c r="W102" t="str">
        <f t="shared" si="35"/>
        <v>DE-Delaware [43]</v>
      </c>
      <c r="X102" t="str">
        <f t="shared" si="43"/>
        <v>DE</v>
      </c>
      <c r="Y102">
        <f t="shared" si="44"/>
        <v>16</v>
      </c>
      <c r="Z102">
        <f t="shared" si="36"/>
        <v>18</v>
      </c>
      <c r="AA102">
        <f t="shared" si="57"/>
        <v>2</v>
      </c>
    </row>
    <row r="103" spans="1:27" x14ac:dyDescent="0.25">
      <c r="A103">
        <f t="shared" si="49"/>
        <v>14</v>
      </c>
      <c r="B103">
        <f t="shared" si="50"/>
        <v>17</v>
      </c>
      <c r="C103" t="str">
        <f t="shared" si="51"/>
        <v>49]</v>
      </c>
      <c r="D103">
        <f t="shared" si="41"/>
        <v>3</v>
      </c>
      <c r="E103" t="str">
        <f t="shared" si="52"/>
        <v>49</v>
      </c>
      <c r="F103" t="str">
        <f t="shared" si="53"/>
        <v>49</v>
      </c>
      <c r="G103">
        <f t="shared" si="54"/>
        <v>9</v>
      </c>
      <c r="H103" t="s">
        <v>366</v>
      </c>
      <c r="I103" t="str">
        <f t="shared" si="37"/>
        <v/>
      </c>
      <c r="J103" t="str">
        <f t="shared" si="38"/>
        <v/>
      </c>
      <c r="K103">
        <f t="shared" si="39"/>
        <v>20</v>
      </c>
      <c r="L103" t="str">
        <f t="shared" si="46"/>
        <v>|2,FL-Florida [49]</v>
      </c>
      <c r="N103" t="str">
        <f t="shared" si="55"/>
        <v>FL</v>
      </c>
      <c r="O103">
        <f t="shared" si="56"/>
        <v>2</v>
      </c>
      <c r="P103" t="str">
        <f t="shared" si="47"/>
        <v>Ge/St/FL</v>
      </c>
      <c r="Q103" s="1" t="str">
        <f t="shared" si="48"/>
        <v>FL-Florida [49]</v>
      </c>
      <c r="R103" s="2" t="str">
        <f t="shared" si="42"/>
        <v>&lt;li&gt;&lt;input type='checkbox'class= 'ckbx' name='49'value='Ge/St/FL'&gt; _ _ _ _FL-Florida [49]&lt;/li&gt;</v>
      </c>
      <c r="T103" t="str">
        <f t="shared" si="45"/>
        <v>&amp;nbsp;&amp;nbsp;&amp;nbsp;&amp;nbsp;</v>
      </c>
      <c r="U103" t="str">
        <f t="shared" si="40"/>
        <v xml:space="preserve"> _ _ _ _</v>
      </c>
      <c r="V103" s="1" t="s">
        <v>92</v>
      </c>
      <c r="W103" t="str">
        <f t="shared" si="35"/>
        <v>FL-Florida [49]</v>
      </c>
      <c r="X103" t="str">
        <f t="shared" si="43"/>
        <v>FL</v>
      </c>
      <c r="Y103">
        <f t="shared" si="44"/>
        <v>15</v>
      </c>
      <c r="Z103">
        <f t="shared" si="36"/>
        <v>17</v>
      </c>
      <c r="AA103">
        <f t="shared" si="57"/>
        <v>2</v>
      </c>
    </row>
    <row r="104" spans="1:27" x14ac:dyDescent="0.25">
      <c r="A104">
        <f t="shared" si="49"/>
        <v>9</v>
      </c>
      <c r="B104">
        <f t="shared" si="50"/>
        <v>13</v>
      </c>
      <c r="C104" t="str">
        <f t="shared" si="51"/>
        <v>410]</v>
      </c>
      <c r="D104">
        <f t="shared" si="41"/>
        <v>4</v>
      </c>
      <c r="E104" t="str">
        <f t="shared" si="52"/>
        <v>410</v>
      </c>
      <c r="F104" t="str">
        <f t="shared" si="53"/>
        <v>410</v>
      </c>
      <c r="G104">
        <f t="shared" si="54"/>
        <v>9</v>
      </c>
      <c r="H104" t="s">
        <v>367</v>
      </c>
      <c r="I104" t="str">
        <f t="shared" si="37"/>
        <v/>
      </c>
      <c r="J104" t="str">
        <f t="shared" si="38"/>
        <v/>
      </c>
      <c r="K104">
        <f t="shared" si="39"/>
        <v>20</v>
      </c>
      <c r="L104" t="str">
        <f t="shared" si="46"/>
        <v>|2,Flags [410]</v>
      </c>
      <c r="N104" t="str">
        <f t="shared" si="55"/>
        <v>Fl</v>
      </c>
      <c r="O104">
        <f t="shared" si="56"/>
        <v>2</v>
      </c>
      <c r="P104" t="str">
        <f t="shared" si="47"/>
        <v>Ge/St/Fl</v>
      </c>
      <c r="Q104" s="1" t="str">
        <f t="shared" si="48"/>
        <v>Flags [410]</v>
      </c>
      <c r="R104" s="2" t="str">
        <f t="shared" si="42"/>
        <v>&lt;li&gt;&lt;input type='checkbox'class= 'ckbx' name='410'value='Ge/St/Fl'&gt; _ _ _ _Flags [410]&lt;/li&gt;</v>
      </c>
      <c r="T104" t="str">
        <f t="shared" si="45"/>
        <v>&amp;nbsp;&amp;nbsp;&amp;nbsp;&amp;nbsp;</v>
      </c>
      <c r="U104" t="str">
        <f t="shared" si="40"/>
        <v xml:space="preserve"> _ _ _ _</v>
      </c>
      <c r="V104" s="1" t="s">
        <v>93</v>
      </c>
      <c r="W104" t="str">
        <f t="shared" ref="W104:W167" si="58">TRIM(V104)</f>
        <v>Flags [410]</v>
      </c>
      <c r="X104" t="str">
        <f t="shared" si="43"/>
        <v>Fl</v>
      </c>
      <c r="Y104">
        <f t="shared" si="44"/>
        <v>11</v>
      </c>
      <c r="Z104">
        <f t="shared" ref="Z104:Z167" si="59">LEN(V104)</f>
        <v>13</v>
      </c>
      <c r="AA104">
        <f t="shared" si="57"/>
        <v>2</v>
      </c>
    </row>
    <row r="105" spans="1:27" x14ac:dyDescent="0.25">
      <c r="A105">
        <f t="shared" si="49"/>
        <v>14</v>
      </c>
      <c r="B105">
        <f t="shared" si="50"/>
        <v>17</v>
      </c>
      <c r="C105" t="str">
        <f t="shared" si="51"/>
        <v>46]</v>
      </c>
      <c r="D105">
        <f t="shared" si="41"/>
        <v>3</v>
      </c>
      <c r="E105" t="str">
        <f t="shared" si="52"/>
        <v>46</v>
      </c>
      <c r="F105" t="str">
        <f t="shared" si="53"/>
        <v>46</v>
      </c>
      <c r="G105">
        <f t="shared" si="54"/>
        <v>9</v>
      </c>
      <c r="H105" t="s">
        <v>368</v>
      </c>
      <c r="I105" t="str">
        <f t="shared" si="37"/>
        <v/>
      </c>
      <c r="J105" t="str">
        <f t="shared" si="38"/>
        <v/>
      </c>
      <c r="K105">
        <f t="shared" si="39"/>
        <v>20</v>
      </c>
      <c r="L105" t="str">
        <f t="shared" si="46"/>
        <v>|2,GA-Georgia [46]</v>
      </c>
      <c r="N105" t="str">
        <f t="shared" si="55"/>
        <v>GA</v>
      </c>
      <c r="O105">
        <f t="shared" si="56"/>
        <v>2</v>
      </c>
      <c r="P105" t="str">
        <f t="shared" si="47"/>
        <v>Ge/St/GA</v>
      </c>
      <c r="Q105" s="1" t="str">
        <f t="shared" si="48"/>
        <v>GA-Georgia [46]</v>
      </c>
      <c r="R105" s="2" t="str">
        <f t="shared" si="42"/>
        <v>&lt;li&gt;&lt;input type='checkbox'class= 'ckbx' name='46'value='Ge/St/GA'&gt; _ _ _ _GA-Georgia [46]&lt;/li&gt;</v>
      </c>
      <c r="T105" t="str">
        <f t="shared" si="45"/>
        <v>&amp;nbsp;&amp;nbsp;&amp;nbsp;&amp;nbsp;</v>
      </c>
      <c r="U105" t="str">
        <f t="shared" si="40"/>
        <v xml:space="preserve"> _ _ _ _</v>
      </c>
      <c r="V105" s="1" t="s">
        <v>94</v>
      </c>
      <c r="W105" t="str">
        <f t="shared" si="58"/>
        <v>GA-Georgia [46]</v>
      </c>
      <c r="X105" t="str">
        <f t="shared" si="43"/>
        <v>GA</v>
      </c>
      <c r="Y105">
        <f t="shared" si="44"/>
        <v>15</v>
      </c>
      <c r="Z105">
        <f t="shared" si="59"/>
        <v>17</v>
      </c>
      <c r="AA105">
        <f t="shared" si="57"/>
        <v>2</v>
      </c>
    </row>
    <row r="106" spans="1:27" x14ac:dyDescent="0.25">
      <c r="A106">
        <f t="shared" si="49"/>
        <v>13</v>
      </c>
      <c r="B106">
        <f t="shared" si="50"/>
        <v>16</v>
      </c>
      <c r="C106" t="str">
        <f t="shared" si="51"/>
        <v>30]</v>
      </c>
      <c r="D106">
        <f t="shared" si="41"/>
        <v>3</v>
      </c>
      <c r="E106" t="str">
        <f t="shared" si="52"/>
        <v>30</v>
      </c>
      <c r="F106" t="str">
        <f t="shared" si="53"/>
        <v>30</v>
      </c>
      <c r="G106">
        <f t="shared" si="54"/>
        <v>9</v>
      </c>
      <c r="H106" t="s">
        <v>369</v>
      </c>
      <c r="I106" t="str">
        <f t="shared" si="37"/>
        <v/>
      </c>
      <c r="J106" t="str">
        <f t="shared" si="38"/>
        <v/>
      </c>
      <c r="K106">
        <f t="shared" si="39"/>
        <v>20</v>
      </c>
      <c r="L106" t="str">
        <f t="shared" si="46"/>
        <v>|2,HI-Hawaii [30]</v>
      </c>
      <c r="N106" t="str">
        <f t="shared" si="55"/>
        <v>HI</v>
      </c>
      <c r="O106">
        <f t="shared" si="56"/>
        <v>2</v>
      </c>
      <c r="P106" t="str">
        <f t="shared" si="47"/>
        <v>Ge/St/HI</v>
      </c>
      <c r="Q106" s="1" t="str">
        <f t="shared" si="48"/>
        <v>HI-Hawaii [30]</v>
      </c>
      <c r="R106" s="2" t="str">
        <f t="shared" si="42"/>
        <v>&lt;li&gt;&lt;input type='checkbox'class= 'ckbx' name='30'value='Ge/St/HI'&gt; _ _ _ _HI-Hawaii [30]&lt;/li&gt;</v>
      </c>
      <c r="T106" t="str">
        <f t="shared" si="45"/>
        <v>&amp;nbsp;&amp;nbsp;&amp;nbsp;&amp;nbsp;</v>
      </c>
      <c r="U106" t="str">
        <f t="shared" si="40"/>
        <v xml:space="preserve"> _ _ _ _</v>
      </c>
      <c r="V106" s="1" t="s">
        <v>95</v>
      </c>
      <c r="W106" t="str">
        <f t="shared" si="58"/>
        <v>HI-Hawaii [30]</v>
      </c>
      <c r="X106" t="str">
        <f t="shared" si="43"/>
        <v>HI</v>
      </c>
      <c r="Y106">
        <f t="shared" si="44"/>
        <v>14</v>
      </c>
      <c r="Z106">
        <f t="shared" si="59"/>
        <v>16</v>
      </c>
      <c r="AA106">
        <f t="shared" si="57"/>
        <v>2</v>
      </c>
    </row>
    <row r="107" spans="1:27" x14ac:dyDescent="0.25">
      <c r="A107">
        <f t="shared" si="49"/>
        <v>11</v>
      </c>
      <c r="B107">
        <f t="shared" si="50"/>
        <v>14</v>
      </c>
      <c r="C107" t="str">
        <f t="shared" si="51"/>
        <v>46]</v>
      </c>
      <c r="D107">
        <f t="shared" si="41"/>
        <v>3</v>
      </c>
      <c r="E107" t="str">
        <f t="shared" si="52"/>
        <v>46</v>
      </c>
      <c r="F107" t="str">
        <f t="shared" si="53"/>
        <v>46</v>
      </c>
      <c r="G107">
        <f t="shared" si="54"/>
        <v>9</v>
      </c>
      <c r="H107" t="s">
        <v>370</v>
      </c>
      <c r="I107" t="str">
        <f t="shared" si="37"/>
        <v/>
      </c>
      <c r="J107" t="str">
        <f t="shared" si="38"/>
        <v/>
      </c>
      <c r="K107">
        <f t="shared" si="39"/>
        <v>20</v>
      </c>
      <c r="L107" t="str">
        <f t="shared" si="46"/>
        <v>|2,IA-Iowa [46]</v>
      </c>
      <c r="N107" t="str">
        <f t="shared" si="55"/>
        <v>IA</v>
      </c>
      <c r="O107">
        <f t="shared" si="56"/>
        <v>2</v>
      </c>
      <c r="P107" t="str">
        <f t="shared" si="47"/>
        <v>Ge/St/IA</v>
      </c>
      <c r="Q107" s="1" t="str">
        <f t="shared" si="48"/>
        <v>IA-Iowa [46]</v>
      </c>
      <c r="R107" s="2" t="str">
        <f t="shared" si="42"/>
        <v>&lt;li&gt;&lt;input type='checkbox'class= 'ckbx' name='46'value='Ge/St/IA'&gt; _ _ _ _IA-Iowa [46]&lt;/li&gt;</v>
      </c>
      <c r="T107" t="str">
        <f t="shared" si="45"/>
        <v>&amp;nbsp;&amp;nbsp;&amp;nbsp;&amp;nbsp;</v>
      </c>
      <c r="U107" t="str">
        <f t="shared" si="40"/>
        <v xml:space="preserve"> _ _ _ _</v>
      </c>
      <c r="V107" s="1" t="s">
        <v>96</v>
      </c>
      <c r="W107" t="str">
        <f t="shared" si="58"/>
        <v>IA-Iowa [46]</v>
      </c>
      <c r="X107" t="str">
        <f t="shared" si="43"/>
        <v>IA</v>
      </c>
      <c r="Y107">
        <f t="shared" si="44"/>
        <v>12</v>
      </c>
      <c r="Z107">
        <f t="shared" si="59"/>
        <v>14</v>
      </c>
      <c r="AA107">
        <f t="shared" si="57"/>
        <v>2</v>
      </c>
    </row>
    <row r="108" spans="1:27" x14ac:dyDescent="0.25">
      <c r="A108">
        <f t="shared" si="49"/>
        <v>12</v>
      </c>
      <c r="B108">
        <f t="shared" si="50"/>
        <v>15</v>
      </c>
      <c r="C108" t="str">
        <f t="shared" si="51"/>
        <v>46]</v>
      </c>
      <c r="D108">
        <f t="shared" si="41"/>
        <v>3</v>
      </c>
      <c r="E108" t="str">
        <f t="shared" si="52"/>
        <v>46</v>
      </c>
      <c r="F108" t="str">
        <f t="shared" si="53"/>
        <v>46</v>
      </c>
      <c r="G108">
        <f t="shared" si="54"/>
        <v>9</v>
      </c>
      <c r="H108" t="s">
        <v>371</v>
      </c>
      <c r="I108" t="str">
        <f t="shared" si="37"/>
        <v/>
      </c>
      <c r="J108" t="str">
        <f t="shared" si="38"/>
        <v/>
      </c>
      <c r="K108">
        <f t="shared" si="39"/>
        <v>20</v>
      </c>
      <c r="L108" t="str">
        <f t="shared" si="46"/>
        <v>|2,ID-Idaho [46]</v>
      </c>
      <c r="N108" t="str">
        <f t="shared" si="55"/>
        <v>ID</v>
      </c>
      <c r="O108">
        <f t="shared" si="56"/>
        <v>2</v>
      </c>
      <c r="P108" t="str">
        <f t="shared" si="47"/>
        <v>Ge/St/ID</v>
      </c>
      <c r="Q108" s="1" t="str">
        <f t="shared" si="48"/>
        <v>ID-Idaho [46]</v>
      </c>
      <c r="R108" s="2" t="str">
        <f t="shared" si="42"/>
        <v>&lt;li&gt;&lt;input type='checkbox'class= 'ckbx' name='46'value='Ge/St/ID'&gt; _ _ _ _ID-Idaho [46]&lt;/li&gt;</v>
      </c>
      <c r="T108" t="str">
        <f t="shared" si="45"/>
        <v>&amp;nbsp;&amp;nbsp;&amp;nbsp;&amp;nbsp;</v>
      </c>
      <c r="U108" t="str">
        <f t="shared" si="40"/>
        <v xml:space="preserve"> _ _ _ _</v>
      </c>
      <c r="V108" s="1" t="s">
        <v>97</v>
      </c>
      <c r="W108" t="str">
        <f t="shared" si="58"/>
        <v>ID-Idaho [46]</v>
      </c>
      <c r="X108" t="str">
        <f t="shared" si="43"/>
        <v>ID</v>
      </c>
      <c r="Y108">
        <f t="shared" si="44"/>
        <v>13</v>
      </c>
      <c r="Z108">
        <f t="shared" si="59"/>
        <v>15</v>
      </c>
      <c r="AA108">
        <f t="shared" si="57"/>
        <v>2</v>
      </c>
    </row>
    <row r="109" spans="1:27" x14ac:dyDescent="0.25">
      <c r="A109">
        <f t="shared" si="49"/>
        <v>15</v>
      </c>
      <c r="B109">
        <f t="shared" si="50"/>
        <v>18</v>
      </c>
      <c r="C109" t="str">
        <f t="shared" si="51"/>
        <v>46]</v>
      </c>
      <c r="D109">
        <f t="shared" si="41"/>
        <v>3</v>
      </c>
      <c r="E109" t="str">
        <f t="shared" si="52"/>
        <v>46</v>
      </c>
      <c r="F109" t="str">
        <f t="shared" si="53"/>
        <v>46</v>
      </c>
      <c r="G109">
        <f t="shared" si="54"/>
        <v>9</v>
      </c>
      <c r="H109" t="s">
        <v>372</v>
      </c>
      <c r="I109" t="str">
        <f t="shared" si="37"/>
        <v/>
      </c>
      <c r="J109" t="str">
        <f t="shared" si="38"/>
        <v/>
      </c>
      <c r="K109">
        <f t="shared" si="39"/>
        <v>20</v>
      </c>
      <c r="L109" t="str">
        <f t="shared" si="46"/>
        <v>|2,IL-Illinois [46]</v>
      </c>
      <c r="N109" t="str">
        <f t="shared" si="55"/>
        <v>IL</v>
      </c>
      <c r="O109">
        <f t="shared" si="56"/>
        <v>2</v>
      </c>
      <c r="P109" t="str">
        <f t="shared" si="47"/>
        <v>Ge/St/IL</v>
      </c>
      <c r="Q109" s="1" t="str">
        <f t="shared" si="48"/>
        <v>IL-Illinois [46]</v>
      </c>
      <c r="R109" s="2" t="str">
        <f t="shared" si="42"/>
        <v>&lt;li&gt;&lt;input type='checkbox'class= 'ckbx' name='46'value='Ge/St/IL'&gt; _ _ _ _IL-Illinois [46]&lt;/li&gt;</v>
      </c>
      <c r="T109" t="str">
        <f t="shared" si="45"/>
        <v>&amp;nbsp;&amp;nbsp;&amp;nbsp;&amp;nbsp;</v>
      </c>
      <c r="U109" t="str">
        <f t="shared" si="40"/>
        <v xml:space="preserve"> _ _ _ _</v>
      </c>
      <c r="V109" s="1" t="s">
        <v>98</v>
      </c>
      <c r="W109" t="str">
        <f t="shared" si="58"/>
        <v>IL-Illinois [46]</v>
      </c>
      <c r="X109" t="str">
        <f t="shared" si="43"/>
        <v>IL</v>
      </c>
      <c r="Y109">
        <f t="shared" si="44"/>
        <v>16</v>
      </c>
      <c r="Z109">
        <f t="shared" si="59"/>
        <v>18</v>
      </c>
      <c r="AA109">
        <f t="shared" si="57"/>
        <v>2</v>
      </c>
    </row>
    <row r="110" spans="1:27" x14ac:dyDescent="0.25">
      <c r="A110">
        <f t="shared" si="49"/>
        <v>14</v>
      </c>
      <c r="B110">
        <f t="shared" si="50"/>
        <v>17</v>
      </c>
      <c r="C110" t="str">
        <f t="shared" si="51"/>
        <v>43]</v>
      </c>
      <c r="D110">
        <f t="shared" si="41"/>
        <v>3</v>
      </c>
      <c r="E110" t="str">
        <f t="shared" si="52"/>
        <v>43</v>
      </c>
      <c r="F110" t="str">
        <f t="shared" si="53"/>
        <v>43</v>
      </c>
      <c r="G110">
        <f t="shared" si="54"/>
        <v>9</v>
      </c>
      <c r="H110" t="s">
        <v>373</v>
      </c>
      <c r="I110" t="str">
        <f t="shared" si="37"/>
        <v/>
      </c>
      <c r="J110" t="str">
        <f t="shared" si="38"/>
        <v/>
      </c>
      <c r="K110">
        <f t="shared" si="39"/>
        <v>20</v>
      </c>
      <c r="L110" t="str">
        <f t="shared" si="46"/>
        <v>|2,IN-Indiana [43]</v>
      </c>
      <c r="N110" t="str">
        <f t="shared" si="55"/>
        <v>IN</v>
      </c>
      <c r="O110">
        <f t="shared" si="56"/>
        <v>2</v>
      </c>
      <c r="P110" t="str">
        <f t="shared" si="47"/>
        <v>Ge/St/IN</v>
      </c>
      <c r="Q110" s="1" t="str">
        <f t="shared" si="48"/>
        <v>IN-Indiana [43]</v>
      </c>
      <c r="R110" s="2" t="str">
        <f t="shared" si="42"/>
        <v>&lt;li&gt;&lt;input type='checkbox'class= 'ckbx' name='43'value='Ge/St/IN'&gt; _ _ _ _IN-Indiana [43]&lt;/li&gt;</v>
      </c>
      <c r="T110" t="str">
        <f t="shared" si="45"/>
        <v>&amp;nbsp;&amp;nbsp;&amp;nbsp;&amp;nbsp;</v>
      </c>
      <c r="U110" t="str">
        <f t="shared" si="40"/>
        <v xml:space="preserve"> _ _ _ _</v>
      </c>
      <c r="V110" s="1" t="s">
        <v>99</v>
      </c>
      <c r="W110" t="str">
        <f t="shared" si="58"/>
        <v>IN-Indiana [43]</v>
      </c>
      <c r="X110" t="str">
        <f t="shared" si="43"/>
        <v>IN</v>
      </c>
      <c r="Y110">
        <f t="shared" si="44"/>
        <v>15</v>
      </c>
      <c r="Z110">
        <f t="shared" si="59"/>
        <v>17</v>
      </c>
      <c r="AA110">
        <f t="shared" si="57"/>
        <v>2</v>
      </c>
    </row>
    <row r="111" spans="1:27" x14ac:dyDescent="0.25">
      <c r="A111">
        <f t="shared" si="49"/>
        <v>13</v>
      </c>
      <c r="B111">
        <f t="shared" si="50"/>
        <v>16</v>
      </c>
      <c r="C111" t="str">
        <f t="shared" si="51"/>
        <v>44]</v>
      </c>
      <c r="D111">
        <f t="shared" si="41"/>
        <v>3</v>
      </c>
      <c r="E111" t="str">
        <f t="shared" si="52"/>
        <v>44</v>
      </c>
      <c r="F111" t="str">
        <f t="shared" si="53"/>
        <v>44</v>
      </c>
      <c r="G111">
        <f t="shared" si="54"/>
        <v>9</v>
      </c>
      <c r="H111" t="s">
        <v>374</v>
      </c>
      <c r="I111" t="str">
        <f t="shared" si="37"/>
        <v/>
      </c>
      <c r="J111" t="str">
        <f t="shared" si="38"/>
        <v/>
      </c>
      <c r="K111">
        <f t="shared" si="39"/>
        <v>20</v>
      </c>
      <c r="L111" t="str">
        <f t="shared" si="46"/>
        <v>|2,KS-Kansas [44]</v>
      </c>
      <c r="N111" t="str">
        <f t="shared" si="55"/>
        <v>KS</v>
      </c>
      <c r="O111">
        <f t="shared" si="56"/>
        <v>2</v>
      </c>
      <c r="P111" t="str">
        <f t="shared" si="47"/>
        <v>Ge/St/KS</v>
      </c>
      <c r="Q111" s="1" t="str">
        <f t="shared" si="48"/>
        <v>KS-Kansas [44]</v>
      </c>
      <c r="R111" s="2" t="str">
        <f t="shared" si="42"/>
        <v>&lt;li&gt;&lt;input type='checkbox'class= 'ckbx' name='44'value='Ge/St/KS'&gt; _ _ _ _KS-Kansas [44]&lt;/li&gt;</v>
      </c>
      <c r="T111" t="str">
        <f t="shared" si="45"/>
        <v>&amp;nbsp;&amp;nbsp;&amp;nbsp;&amp;nbsp;</v>
      </c>
      <c r="U111" t="str">
        <f t="shared" si="40"/>
        <v xml:space="preserve"> _ _ _ _</v>
      </c>
      <c r="V111" s="1" t="s">
        <v>100</v>
      </c>
      <c r="W111" t="str">
        <f t="shared" si="58"/>
        <v>KS-Kansas [44]</v>
      </c>
      <c r="X111" t="str">
        <f t="shared" si="43"/>
        <v>KS</v>
      </c>
      <c r="Y111">
        <f t="shared" si="44"/>
        <v>14</v>
      </c>
      <c r="Z111">
        <f t="shared" si="59"/>
        <v>16</v>
      </c>
      <c r="AA111">
        <f t="shared" si="57"/>
        <v>2</v>
      </c>
    </row>
    <row r="112" spans="1:27" x14ac:dyDescent="0.25">
      <c r="A112">
        <f t="shared" si="49"/>
        <v>15</v>
      </c>
      <c r="B112">
        <f t="shared" si="50"/>
        <v>18</v>
      </c>
      <c r="C112" t="str">
        <f t="shared" si="51"/>
        <v>47]</v>
      </c>
      <c r="D112">
        <f t="shared" si="41"/>
        <v>3</v>
      </c>
      <c r="E112" t="str">
        <f t="shared" si="52"/>
        <v>47</v>
      </c>
      <c r="F112" t="str">
        <f t="shared" si="53"/>
        <v>47</v>
      </c>
      <c r="G112">
        <f t="shared" si="54"/>
        <v>9</v>
      </c>
      <c r="H112" t="s">
        <v>375</v>
      </c>
      <c r="I112" t="str">
        <f t="shared" si="37"/>
        <v/>
      </c>
      <c r="J112" t="str">
        <f t="shared" si="38"/>
        <v/>
      </c>
      <c r="K112">
        <f t="shared" si="39"/>
        <v>20</v>
      </c>
      <c r="L112" t="str">
        <f t="shared" si="46"/>
        <v>|2,KY-Kentucky [47]</v>
      </c>
      <c r="N112" t="str">
        <f t="shared" si="55"/>
        <v>KY</v>
      </c>
      <c r="O112">
        <f t="shared" si="56"/>
        <v>2</v>
      </c>
      <c r="P112" t="str">
        <f t="shared" si="47"/>
        <v>Ge/St/KY</v>
      </c>
      <c r="Q112" s="1" t="str">
        <f t="shared" si="48"/>
        <v>KY-Kentucky [47]</v>
      </c>
      <c r="R112" s="2" t="str">
        <f t="shared" si="42"/>
        <v>&lt;li&gt;&lt;input type='checkbox'class= 'ckbx' name='47'value='Ge/St/KY'&gt; _ _ _ _KY-Kentucky [47]&lt;/li&gt;</v>
      </c>
      <c r="T112" t="str">
        <f t="shared" si="45"/>
        <v>&amp;nbsp;&amp;nbsp;&amp;nbsp;&amp;nbsp;</v>
      </c>
      <c r="U112" t="str">
        <f t="shared" si="40"/>
        <v xml:space="preserve"> _ _ _ _</v>
      </c>
      <c r="V112" s="1" t="s">
        <v>101</v>
      </c>
      <c r="W112" t="str">
        <f t="shared" si="58"/>
        <v>KY-Kentucky [47]</v>
      </c>
      <c r="X112" t="str">
        <f t="shared" si="43"/>
        <v>KY</v>
      </c>
      <c r="Y112">
        <f t="shared" si="44"/>
        <v>16</v>
      </c>
      <c r="Z112">
        <f t="shared" si="59"/>
        <v>18</v>
      </c>
      <c r="AA112">
        <f t="shared" si="57"/>
        <v>2</v>
      </c>
    </row>
    <row r="113" spans="1:27" x14ac:dyDescent="0.25">
      <c r="A113">
        <f t="shared" si="49"/>
        <v>16</v>
      </c>
      <c r="B113">
        <f t="shared" si="50"/>
        <v>19</v>
      </c>
      <c r="C113" t="str">
        <f t="shared" si="51"/>
        <v>44]</v>
      </c>
      <c r="D113">
        <f t="shared" si="41"/>
        <v>3</v>
      </c>
      <c r="E113" t="str">
        <f t="shared" si="52"/>
        <v>44</v>
      </c>
      <c r="F113" t="str">
        <f t="shared" si="53"/>
        <v>44</v>
      </c>
      <c r="G113">
        <f t="shared" si="54"/>
        <v>9</v>
      </c>
      <c r="H113" t="s">
        <v>376</v>
      </c>
      <c r="I113" t="str">
        <f t="shared" si="37"/>
        <v/>
      </c>
      <c r="J113" t="str">
        <f t="shared" si="38"/>
        <v/>
      </c>
      <c r="K113">
        <f t="shared" si="39"/>
        <v>20</v>
      </c>
      <c r="L113" t="str">
        <f t="shared" si="46"/>
        <v>|2,LA-Louisiana [44]</v>
      </c>
      <c r="N113" t="str">
        <f t="shared" si="55"/>
        <v>LA</v>
      </c>
      <c r="O113">
        <f t="shared" si="56"/>
        <v>2</v>
      </c>
      <c r="P113" t="str">
        <f t="shared" si="47"/>
        <v>Ge/St/LA</v>
      </c>
      <c r="Q113" s="1" t="str">
        <f t="shared" si="48"/>
        <v>LA-Louisiana [44]</v>
      </c>
      <c r="R113" s="2" t="str">
        <f t="shared" si="42"/>
        <v>&lt;li&gt;&lt;input type='checkbox'class= 'ckbx' name='44'value='Ge/St/LA'&gt; _ _ _ _LA-Louisiana [44]&lt;/li&gt;</v>
      </c>
      <c r="T113" t="str">
        <f t="shared" si="45"/>
        <v>&amp;nbsp;&amp;nbsp;&amp;nbsp;&amp;nbsp;</v>
      </c>
      <c r="U113" t="str">
        <f t="shared" si="40"/>
        <v xml:space="preserve"> _ _ _ _</v>
      </c>
      <c r="V113" s="1" t="s">
        <v>102</v>
      </c>
      <c r="W113" t="str">
        <f t="shared" si="58"/>
        <v>LA-Louisiana [44]</v>
      </c>
      <c r="X113" t="str">
        <f t="shared" si="43"/>
        <v>LA</v>
      </c>
      <c r="Y113">
        <f t="shared" si="44"/>
        <v>17</v>
      </c>
      <c r="Z113">
        <f t="shared" si="59"/>
        <v>19</v>
      </c>
      <c r="AA113">
        <f t="shared" si="57"/>
        <v>2</v>
      </c>
    </row>
    <row r="114" spans="1:27" x14ac:dyDescent="0.25">
      <c r="A114">
        <f t="shared" si="49"/>
        <v>20</v>
      </c>
      <c r="B114">
        <f t="shared" si="50"/>
        <v>23</v>
      </c>
      <c r="C114" t="str">
        <f t="shared" si="51"/>
        <v>44]</v>
      </c>
      <c r="D114">
        <f t="shared" si="41"/>
        <v>3</v>
      </c>
      <c r="E114" t="str">
        <f t="shared" si="52"/>
        <v>44</v>
      </c>
      <c r="F114" t="str">
        <f t="shared" si="53"/>
        <v>44</v>
      </c>
      <c r="G114">
        <f t="shared" si="54"/>
        <v>9</v>
      </c>
      <c r="H114" t="s">
        <v>377</v>
      </c>
      <c r="I114" t="str">
        <f t="shared" si="37"/>
        <v/>
      </c>
      <c r="J114" t="str">
        <f t="shared" si="38"/>
        <v/>
      </c>
      <c r="K114">
        <f t="shared" si="39"/>
        <v>20</v>
      </c>
      <c r="L114" t="str">
        <f t="shared" si="46"/>
        <v>|2,MA-Massachusetts [44]</v>
      </c>
      <c r="N114" t="str">
        <f t="shared" si="55"/>
        <v>MA</v>
      </c>
      <c r="O114">
        <f t="shared" si="56"/>
        <v>2</v>
      </c>
      <c r="P114" t="str">
        <f t="shared" si="47"/>
        <v>Ge/St/MA</v>
      </c>
      <c r="Q114" s="1" t="str">
        <f t="shared" si="48"/>
        <v>MA-Massachusetts [44]</v>
      </c>
      <c r="R114" s="2" t="str">
        <f t="shared" si="42"/>
        <v>&lt;li&gt;&lt;input type='checkbox'class= 'ckbx' name='44'value='Ge/St/MA'&gt; _ _ _ _MA-Massachusetts [44]&lt;/li&gt;</v>
      </c>
      <c r="T114" t="str">
        <f t="shared" si="45"/>
        <v>&amp;nbsp;&amp;nbsp;&amp;nbsp;&amp;nbsp;</v>
      </c>
      <c r="U114" t="str">
        <f t="shared" si="40"/>
        <v xml:space="preserve"> _ _ _ _</v>
      </c>
      <c r="V114" s="1" t="s">
        <v>103</v>
      </c>
      <c r="W114" t="str">
        <f t="shared" si="58"/>
        <v>MA-Massachusetts [44]</v>
      </c>
      <c r="X114" t="str">
        <f t="shared" si="43"/>
        <v>MA</v>
      </c>
      <c r="Y114">
        <f t="shared" si="44"/>
        <v>21</v>
      </c>
      <c r="Z114">
        <f t="shared" si="59"/>
        <v>23</v>
      </c>
      <c r="AA114">
        <f t="shared" si="57"/>
        <v>2</v>
      </c>
    </row>
    <row r="115" spans="1:27" x14ac:dyDescent="0.25">
      <c r="A115">
        <f t="shared" si="49"/>
        <v>15</v>
      </c>
      <c r="B115">
        <f t="shared" si="50"/>
        <v>18</v>
      </c>
      <c r="C115" t="str">
        <f t="shared" si="51"/>
        <v>44]</v>
      </c>
      <c r="D115">
        <f t="shared" si="41"/>
        <v>3</v>
      </c>
      <c r="E115" t="str">
        <f t="shared" si="52"/>
        <v>44</v>
      </c>
      <c r="F115" t="str">
        <f t="shared" si="53"/>
        <v>44</v>
      </c>
      <c r="G115">
        <f t="shared" si="54"/>
        <v>9</v>
      </c>
      <c r="H115" t="s">
        <v>378</v>
      </c>
      <c r="I115" t="str">
        <f t="shared" si="37"/>
        <v/>
      </c>
      <c r="J115" t="str">
        <f t="shared" si="38"/>
        <v/>
      </c>
      <c r="K115">
        <f t="shared" si="39"/>
        <v>20</v>
      </c>
      <c r="L115" t="str">
        <f t="shared" si="46"/>
        <v>|2,MD-Maryland [44]</v>
      </c>
      <c r="N115" t="str">
        <f t="shared" si="55"/>
        <v>MD</v>
      </c>
      <c r="O115">
        <f t="shared" si="56"/>
        <v>2</v>
      </c>
      <c r="P115" t="str">
        <f t="shared" si="47"/>
        <v>Ge/St/MD</v>
      </c>
      <c r="Q115" s="1" t="str">
        <f t="shared" si="48"/>
        <v>MD-Maryland [44]</v>
      </c>
      <c r="R115" s="2" t="str">
        <f t="shared" si="42"/>
        <v>&lt;li&gt;&lt;input type='checkbox'class= 'ckbx' name='44'value='Ge/St/MD'&gt; _ _ _ _MD-Maryland [44]&lt;/li&gt;</v>
      </c>
      <c r="T115" t="str">
        <f t="shared" si="45"/>
        <v>&amp;nbsp;&amp;nbsp;&amp;nbsp;&amp;nbsp;</v>
      </c>
      <c r="U115" t="str">
        <f t="shared" si="40"/>
        <v xml:space="preserve"> _ _ _ _</v>
      </c>
      <c r="V115" s="1" t="s">
        <v>104</v>
      </c>
      <c r="W115" t="str">
        <f t="shared" si="58"/>
        <v>MD-Maryland [44]</v>
      </c>
      <c r="X115" t="str">
        <f t="shared" si="43"/>
        <v>MD</v>
      </c>
      <c r="Y115">
        <f t="shared" si="44"/>
        <v>16</v>
      </c>
      <c r="Z115">
        <f t="shared" si="59"/>
        <v>18</v>
      </c>
      <c r="AA115">
        <f t="shared" si="57"/>
        <v>2</v>
      </c>
    </row>
    <row r="116" spans="1:27" x14ac:dyDescent="0.25">
      <c r="A116">
        <f t="shared" si="49"/>
        <v>12</v>
      </c>
      <c r="B116">
        <f t="shared" si="50"/>
        <v>15</v>
      </c>
      <c r="C116" t="str">
        <f t="shared" si="51"/>
        <v>47]</v>
      </c>
      <c r="D116">
        <f t="shared" si="41"/>
        <v>3</v>
      </c>
      <c r="E116" t="str">
        <f t="shared" si="52"/>
        <v>47</v>
      </c>
      <c r="F116" t="str">
        <f t="shared" si="53"/>
        <v>47</v>
      </c>
      <c r="G116">
        <f t="shared" si="54"/>
        <v>9</v>
      </c>
      <c r="H116" t="s">
        <v>379</v>
      </c>
      <c r="I116" t="str">
        <f t="shared" si="37"/>
        <v/>
      </c>
      <c r="J116" t="str">
        <f t="shared" si="38"/>
        <v/>
      </c>
      <c r="K116">
        <f t="shared" si="39"/>
        <v>20</v>
      </c>
      <c r="L116" t="str">
        <f t="shared" si="46"/>
        <v>|2,ME-Maine [47]</v>
      </c>
      <c r="N116" t="str">
        <f t="shared" si="55"/>
        <v>ME</v>
      </c>
      <c r="O116">
        <f t="shared" si="56"/>
        <v>2</v>
      </c>
      <c r="P116" t="str">
        <f t="shared" si="47"/>
        <v>Ge/St/ME</v>
      </c>
      <c r="Q116" s="1" t="str">
        <f t="shared" si="48"/>
        <v>ME-Maine [47]</v>
      </c>
      <c r="R116" s="2" t="str">
        <f t="shared" si="42"/>
        <v>&lt;li&gt;&lt;input type='checkbox'class= 'ckbx' name='47'value='Ge/St/ME'&gt; _ _ _ _ME-Maine [47]&lt;/li&gt;</v>
      </c>
      <c r="T116" t="str">
        <f t="shared" si="45"/>
        <v>&amp;nbsp;&amp;nbsp;&amp;nbsp;&amp;nbsp;</v>
      </c>
      <c r="U116" t="str">
        <f t="shared" si="40"/>
        <v xml:space="preserve"> _ _ _ _</v>
      </c>
      <c r="V116" s="1" t="s">
        <v>105</v>
      </c>
      <c r="W116" t="str">
        <f t="shared" si="58"/>
        <v>ME-Maine [47]</v>
      </c>
      <c r="X116" t="str">
        <f t="shared" si="43"/>
        <v>ME</v>
      </c>
      <c r="Y116">
        <f t="shared" si="44"/>
        <v>13</v>
      </c>
      <c r="Z116">
        <f t="shared" si="59"/>
        <v>15</v>
      </c>
      <c r="AA116">
        <f t="shared" si="57"/>
        <v>2</v>
      </c>
    </row>
    <row r="117" spans="1:27" x14ac:dyDescent="0.25">
      <c r="A117">
        <f t="shared" si="49"/>
        <v>15</v>
      </c>
      <c r="B117">
        <f t="shared" si="50"/>
        <v>18</v>
      </c>
      <c r="C117" t="str">
        <f t="shared" si="51"/>
        <v>47]</v>
      </c>
      <c r="D117">
        <f t="shared" si="41"/>
        <v>3</v>
      </c>
      <c r="E117" t="str">
        <f t="shared" si="52"/>
        <v>47</v>
      </c>
      <c r="F117" t="str">
        <f t="shared" si="53"/>
        <v>47</v>
      </c>
      <c r="G117">
        <f t="shared" si="54"/>
        <v>9</v>
      </c>
      <c r="H117" t="s">
        <v>380</v>
      </c>
      <c r="I117" t="str">
        <f t="shared" si="37"/>
        <v/>
      </c>
      <c r="J117" t="str">
        <f t="shared" si="38"/>
        <v/>
      </c>
      <c r="K117">
        <f t="shared" si="39"/>
        <v>20</v>
      </c>
      <c r="L117" t="str">
        <f t="shared" si="46"/>
        <v>|2,MI-Michigan [47]</v>
      </c>
      <c r="N117" t="str">
        <f t="shared" si="55"/>
        <v>MI</v>
      </c>
      <c r="O117">
        <f t="shared" si="56"/>
        <v>2</v>
      </c>
      <c r="P117" t="str">
        <f t="shared" si="47"/>
        <v>Ge/St/MI</v>
      </c>
      <c r="Q117" s="1" t="str">
        <f t="shared" si="48"/>
        <v>MI-Michigan [47]</v>
      </c>
      <c r="R117" s="2" t="str">
        <f t="shared" si="42"/>
        <v>&lt;li&gt;&lt;input type='checkbox'class= 'ckbx' name='47'value='Ge/St/MI'&gt; _ _ _ _MI-Michigan [47]&lt;/li&gt;</v>
      </c>
      <c r="T117" t="str">
        <f t="shared" si="45"/>
        <v>&amp;nbsp;&amp;nbsp;&amp;nbsp;&amp;nbsp;</v>
      </c>
      <c r="U117" t="str">
        <f t="shared" si="40"/>
        <v xml:space="preserve"> _ _ _ _</v>
      </c>
      <c r="V117" s="1" t="s">
        <v>106</v>
      </c>
      <c r="W117" t="str">
        <f t="shared" si="58"/>
        <v>MI-Michigan [47]</v>
      </c>
      <c r="X117" t="str">
        <f t="shared" si="43"/>
        <v>MI</v>
      </c>
      <c r="Y117">
        <f t="shared" si="44"/>
        <v>16</v>
      </c>
      <c r="Z117">
        <f t="shared" si="59"/>
        <v>18</v>
      </c>
      <c r="AA117">
        <f t="shared" si="57"/>
        <v>2</v>
      </c>
    </row>
    <row r="118" spans="1:27" x14ac:dyDescent="0.25">
      <c r="A118">
        <f t="shared" si="49"/>
        <v>16</v>
      </c>
      <c r="B118">
        <f t="shared" si="50"/>
        <v>19</v>
      </c>
      <c r="C118" t="str">
        <f t="shared" si="51"/>
        <v>47]</v>
      </c>
      <c r="D118">
        <f t="shared" si="41"/>
        <v>3</v>
      </c>
      <c r="E118" t="str">
        <f t="shared" si="52"/>
        <v>47</v>
      </c>
      <c r="F118" t="str">
        <f t="shared" si="53"/>
        <v>47</v>
      </c>
      <c r="G118">
        <f t="shared" si="54"/>
        <v>9</v>
      </c>
      <c r="H118" t="s">
        <v>381</v>
      </c>
      <c r="I118" t="str">
        <f t="shared" si="37"/>
        <v/>
      </c>
      <c r="J118" t="str">
        <f t="shared" si="38"/>
        <v/>
      </c>
      <c r="K118">
        <f t="shared" si="39"/>
        <v>20</v>
      </c>
      <c r="L118" t="str">
        <f t="shared" si="46"/>
        <v>|2,MN-Minnesota [47]</v>
      </c>
      <c r="N118" t="str">
        <f t="shared" si="55"/>
        <v>MN</v>
      </c>
      <c r="O118">
        <f t="shared" si="56"/>
        <v>2</v>
      </c>
      <c r="P118" t="str">
        <f t="shared" si="47"/>
        <v>Ge/St/MN</v>
      </c>
      <c r="Q118" s="1" t="str">
        <f t="shared" si="48"/>
        <v>MN-Minnesota [47]</v>
      </c>
      <c r="R118" s="2" t="str">
        <f t="shared" si="42"/>
        <v>&lt;li&gt;&lt;input type='checkbox'class= 'ckbx' name='47'value='Ge/St/MN'&gt; _ _ _ _MN-Minnesota [47]&lt;/li&gt;</v>
      </c>
      <c r="T118" t="str">
        <f t="shared" si="45"/>
        <v>&amp;nbsp;&amp;nbsp;&amp;nbsp;&amp;nbsp;</v>
      </c>
      <c r="U118" t="str">
        <f t="shared" si="40"/>
        <v xml:space="preserve"> _ _ _ _</v>
      </c>
      <c r="V118" s="1" t="s">
        <v>107</v>
      </c>
      <c r="W118" t="str">
        <f t="shared" si="58"/>
        <v>MN-Minnesota [47]</v>
      </c>
      <c r="X118" t="str">
        <f t="shared" si="43"/>
        <v>MN</v>
      </c>
      <c r="Y118">
        <f t="shared" si="44"/>
        <v>17</v>
      </c>
      <c r="Z118">
        <f t="shared" si="59"/>
        <v>19</v>
      </c>
      <c r="AA118">
        <f t="shared" si="57"/>
        <v>2</v>
      </c>
    </row>
    <row r="119" spans="1:27" x14ac:dyDescent="0.25">
      <c r="A119">
        <f t="shared" si="49"/>
        <v>15</v>
      </c>
      <c r="B119">
        <f t="shared" si="50"/>
        <v>18</v>
      </c>
      <c r="C119" t="str">
        <f t="shared" si="51"/>
        <v>47]</v>
      </c>
      <c r="D119">
        <f t="shared" si="41"/>
        <v>3</v>
      </c>
      <c r="E119" t="str">
        <f t="shared" si="52"/>
        <v>47</v>
      </c>
      <c r="F119" t="str">
        <f t="shared" si="53"/>
        <v>47</v>
      </c>
      <c r="G119">
        <f t="shared" si="54"/>
        <v>9</v>
      </c>
      <c r="H119" t="s">
        <v>382</v>
      </c>
      <c r="I119" t="str">
        <f t="shared" si="37"/>
        <v/>
      </c>
      <c r="J119" t="str">
        <f t="shared" si="38"/>
        <v/>
      </c>
      <c r="K119">
        <f t="shared" si="39"/>
        <v>20</v>
      </c>
      <c r="L119" t="str">
        <f t="shared" si="46"/>
        <v>|2,MO-Missouri [47]</v>
      </c>
      <c r="N119" t="str">
        <f t="shared" si="55"/>
        <v>MO</v>
      </c>
      <c r="O119">
        <f t="shared" si="56"/>
        <v>2</v>
      </c>
      <c r="P119" t="str">
        <f t="shared" si="47"/>
        <v>Ge/St/MO</v>
      </c>
      <c r="Q119" s="1" t="str">
        <f t="shared" si="48"/>
        <v>MO-Missouri [47]</v>
      </c>
      <c r="R119" s="2" t="str">
        <f t="shared" si="42"/>
        <v>&lt;li&gt;&lt;input type='checkbox'class= 'ckbx' name='47'value='Ge/St/MO'&gt; _ _ _ _MO-Missouri [47]&lt;/li&gt;</v>
      </c>
      <c r="T119" t="str">
        <f t="shared" si="45"/>
        <v>&amp;nbsp;&amp;nbsp;&amp;nbsp;&amp;nbsp;</v>
      </c>
      <c r="U119" t="str">
        <f t="shared" si="40"/>
        <v xml:space="preserve"> _ _ _ _</v>
      </c>
      <c r="V119" s="1" t="s">
        <v>108</v>
      </c>
      <c r="W119" t="str">
        <f t="shared" si="58"/>
        <v>MO-Missouri [47]</v>
      </c>
      <c r="X119" t="str">
        <f t="shared" si="43"/>
        <v>MO</v>
      </c>
      <c r="Y119">
        <f t="shared" si="44"/>
        <v>16</v>
      </c>
      <c r="Z119">
        <f t="shared" si="59"/>
        <v>18</v>
      </c>
      <c r="AA119">
        <f t="shared" si="57"/>
        <v>2</v>
      </c>
    </row>
    <row r="120" spans="1:27" x14ac:dyDescent="0.25">
      <c r="A120">
        <f t="shared" si="49"/>
        <v>18</v>
      </c>
      <c r="B120">
        <f t="shared" si="50"/>
        <v>21</v>
      </c>
      <c r="C120" t="str">
        <f t="shared" si="51"/>
        <v>52]</v>
      </c>
      <c r="D120">
        <f t="shared" si="41"/>
        <v>3</v>
      </c>
      <c r="E120" t="str">
        <f t="shared" si="52"/>
        <v>52</v>
      </c>
      <c r="F120" t="str">
        <f t="shared" si="53"/>
        <v>52</v>
      </c>
      <c r="G120">
        <f t="shared" si="54"/>
        <v>9</v>
      </c>
      <c r="H120" t="s">
        <v>383</v>
      </c>
      <c r="I120" t="str">
        <f t="shared" si="37"/>
        <v/>
      </c>
      <c r="J120" t="str">
        <f t="shared" si="38"/>
        <v/>
      </c>
      <c r="K120">
        <f t="shared" si="39"/>
        <v>20</v>
      </c>
      <c r="L120" t="str">
        <f t="shared" si="46"/>
        <v>|2,MS-Mississippi [52]</v>
      </c>
      <c r="N120" t="str">
        <f t="shared" si="55"/>
        <v>MS</v>
      </c>
      <c r="O120">
        <f t="shared" si="56"/>
        <v>2</v>
      </c>
      <c r="P120" t="str">
        <f t="shared" si="47"/>
        <v>Ge/St/MS</v>
      </c>
      <c r="Q120" s="1" t="str">
        <f t="shared" si="48"/>
        <v>MS-Mississippi [52]</v>
      </c>
      <c r="R120" s="2" t="str">
        <f t="shared" si="42"/>
        <v>&lt;li&gt;&lt;input type='checkbox'class= 'ckbx' name='52'value='Ge/St/MS'&gt; _ _ _ _MS-Mississippi [52]&lt;/li&gt;</v>
      </c>
      <c r="T120" t="str">
        <f t="shared" si="45"/>
        <v>&amp;nbsp;&amp;nbsp;&amp;nbsp;&amp;nbsp;</v>
      </c>
      <c r="U120" t="str">
        <f t="shared" si="40"/>
        <v xml:space="preserve"> _ _ _ _</v>
      </c>
      <c r="V120" s="1" t="s">
        <v>109</v>
      </c>
      <c r="W120" t="str">
        <f t="shared" si="58"/>
        <v>MS-Mississippi [52]</v>
      </c>
      <c r="X120" t="str">
        <f t="shared" si="43"/>
        <v>MS</v>
      </c>
      <c r="Y120">
        <f t="shared" si="44"/>
        <v>19</v>
      </c>
      <c r="Z120">
        <f t="shared" si="59"/>
        <v>21</v>
      </c>
      <c r="AA120">
        <f t="shared" si="57"/>
        <v>2</v>
      </c>
    </row>
    <row r="121" spans="1:27" x14ac:dyDescent="0.25">
      <c r="A121">
        <f t="shared" si="49"/>
        <v>14</v>
      </c>
      <c r="B121">
        <f t="shared" si="50"/>
        <v>17</v>
      </c>
      <c r="C121" t="str">
        <f t="shared" si="51"/>
        <v>47]</v>
      </c>
      <c r="D121">
        <f t="shared" si="41"/>
        <v>3</v>
      </c>
      <c r="E121" t="str">
        <f t="shared" si="52"/>
        <v>47</v>
      </c>
      <c r="F121" t="str">
        <f t="shared" si="53"/>
        <v>47</v>
      </c>
      <c r="G121">
        <f t="shared" si="54"/>
        <v>9</v>
      </c>
      <c r="H121" t="s">
        <v>384</v>
      </c>
      <c r="I121" t="str">
        <f t="shared" si="37"/>
        <v/>
      </c>
      <c r="J121" t="str">
        <f t="shared" si="38"/>
        <v/>
      </c>
      <c r="K121">
        <f t="shared" si="39"/>
        <v>20</v>
      </c>
      <c r="L121" t="str">
        <f t="shared" si="46"/>
        <v>|2,MT-Montana [47]</v>
      </c>
      <c r="N121" t="str">
        <f t="shared" si="55"/>
        <v>MT</v>
      </c>
      <c r="O121">
        <f t="shared" si="56"/>
        <v>2</v>
      </c>
      <c r="P121" t="str">
        <f t="shared" si="47"/>
        <v>Ge/St/MT</v>
      </c>
      <c r="Q121" s="1" t="str">
        <f t="shared" si="48"/>
        <v>MT-Montana [47]</v>
      </c>
      <c r="R121" s="2" t="str">
        <f t="shared" si="42"/>
        <v>&lt;li&gt;&lt;input type='checkbox'class= 'ckbx' name='47'value='Ge/St/MT'&gt; _ _ _ _MT-Montana [47]&lt;/li&gt;</v>
      </c>
      <c r="T121" t="str">
        <f t="shared" si="45"/>
        <v>&amp;nbsp;&amp;nbsp;&amp;nbsp;&amp;nbsp;</v>
      </c>
      <c r="U121" t="str">
        <f t="shared" si="40"/>
        <v xml:space="preserve"> _ _ _ _</v>
      </c>
      <c r="V121" s="1" t="s">
        <v>110</v>
      </c>
      <c r="W121" t="str">
        <f t="shared" si="58"/>
        <v>MT-Montana [47]</v>
      </c>
      <c r="X121" t="str">
        <f t="shared" si="43"/>
        <v>MT</v>
      </c>
      <c r="Y121">
        <f t="shared" si="44"/>
        <v>15</v>
      </c>
      <c r="Z121">
        <f t="shared" si="59"/>
        <v>17</v>
      </c>
      <c r="AA121">
        <f t="shared" si="57"/>
        <v>2</v>
      </c>
    </row>
    <row r="122" spans="1:27" x14ac:dyDescent="0.25">
      <c r="A122">
        <f t="shared" si="49"/>
        <v>21</v>
      </c>
      <c r="B122">
        <f t="shared" si="50"/>
        <v>24</v>
      </c>
      <c r="C122" t="str">
        <f t="shared" si="51"/>
        <v>46]</v>
      </c>
      <c r="D122">
        <f t="shared" si="41"/>
        <v>3</v>
      </c>
      <c r="E122" t="str">
        <f t="shared" si="52"/>
        <v>46</v>
      </c>
      <c r="F122" t="str">
        <f t="shared" si="53"/>
        <v>46</v>
      </c>
      <c r="G122">
        <f t="shared" si="54"/>
        <v>9</v>
      </c>
      <c r="H122" t="s">
        <v>385</v>
      </c>
      <c r="I122" t="str">
        <f t="shared" si="37"/>
        <v/>
      </c>
      <c r="J122" t="str">
        <f t="shared" si="38"/>
        <v/>
      </c>
      <c r="K122">
        <f t="shared" si="39"/>
        <v>20</v>
      </c>
      <c r="L122" t="str">
        <f t="shared" si="46"/>
        <v>|2,NC-North Carolina [46]</v>
      </c>
      <c r="N122" t="str">
        <f t="shared" si="55"/>
        <v>NC</v>
      </c>
      <c r="O122">
        <f t="shared" si="56"/>
        <v>2</v>
      </c>
      <c r="P122" t="str">
        <f t="shared" si="47"/>
        <v>Ge/St/NC</v>
      </c>
      <c r="Q122" s="1" t="str">
        <f t="shared" si="48"/>
        <v>NC-North Carolina [46]</v>
      </c>
      <c r="R122" s="2" t="str">
        <f t="shared" si="42"/>
        <v>&lt;li&gt;&lt;input type='checkbox'class= 'ckbx' name='46'value='Ge/St/NC'&gt; _ _ _ _NC-North Carolina [46]&lt;/li&gt;</v>
      </c>
      <c r="T122" t="str">
        <f t="shared" si="45"/>
        <v>&amp;nbsp;&amp;nbsp;&amp;nbsp;&amp;nbsp;</v>
      </c>
      <c r="U122" t="str">
        <f t="shared" si="40"/>
        <v xml:space="preserve"> _ _ _ _</v>
      </c>
      <c r="V122" s="1" t="s">
        <v>111</v>
      </c>
      <c r="W122" t="str">
        <f t="shared" si="58"/>
        <v>NC-North Carolina [46]</v>
      </c>
      <c r="X122" t="str">
        <f t="shared" si="43"/>
        <v>NC</v>
      </c>
      <c r="Y122">
        <f t="shared" si="44"/>
        <v>22</v>
      </c>
      <c r="Z122">
        <f t="shared" si="59"/>
        <v>24</v>
      </c>
      <c r="AA122">
        <f t="shared" si="57"/>
        <v>2</v>
      </c>
    </row>
    <row r="123" spans="1:27" x14ac:dyDescent="0.25">
      <c r="A123">
        <f t="shared" si="49"/>
        <v>19</v>
      </c>
      <c r="B123">
        <f t="shared" si="50"/>
        <v>22</v>
      </c>
      <c r="C123" t="str">
        <f t="shared" si="51"/>
        <v>46]</v>
      </c>
      <c r="D123">
        <f t="shared" si="41"/>
        <v>3</v>
      </c>
      <c r="E123" t="str">
        <f t="shared" si="52"/>
        <v>46</v>
      </c>
      <c r="F123" t="str">
        <f t="shared" si="53"/>
        <v>46</v>
      </c>
      <c r="G123">
        <f t="shared" si="54"/>
        <v>9</v>
      </c>
      <c r="H123" t="s">
        <v>386</v>
      </c>
      <c r="I123" t="str">
        <f t="shared" si="37"/>
        <v/>
      </c>
      <c r="J123" t="str">
        <f t="shared" si="38"/>
        <v/>
      </c>
      <c r="K123">
        <f t="shared" si="39"/>
        <v>20</v>
      </c>
      <c r="L123" t="str">
        <f t="shared" si="46"/>
        <v>|2,ND-North Dakota [46]</v>
      </c>
      <c r="N123" t="str">
        <f t="shared" si="55"/>
        <v>ND</v>
      </c>
      <c r="O123">
        <f t="shared" si="56"/>
        <v>2</v>
      </c>
      <c r="P123" t="str">
        <f t="shared" si="47"/>
        <v>Ge/St/ND</v>
      </c>
      <c r="Q123" s="1" t="str">
        <f t="shared" si="48"/>
        <v>ND-North Dakota [46]</v>
      </c>
      <c r="R123" s="2" t="str">
        <f t="shared" si="42"/>
        <v>&lt;li&gt;&lt;input type='checkbox'class= 'ckbx' name='46'value='Ge/St/ND'&gt; _ _ _ _ND-North Dakota [46]&lt;/li&gt;</v>
      </c>
      <c r="T123" t="str">
        <f t="shared" si="45"/>
        <v>&amp;nbsp;&amp;nbsp;&amp;nbsp;&amp;nbsp;</v>
      </c>
      <c r="U123" t="str">
        <f t="shared" si="40"/>
        <v xml:space="preserve"> _ _ _ _</v>
      </c>
      <c r="V123" s="1" t="s">
        <v>112</v>
      </c>
      <c r="W123" t="str">
        <f t="shared" si="58"/>
        <v>ND-North Dakota [46]</v>
      </c>
      <c r="X123" t="str">
        <f t="shared" si="43"/>
        <v>ND</v>
      </c>
      <c r="Y123">
        <f t="shared" si="44"/>
        <v>20</v>
      </c>
      <c r="Z123">
        <f t="shared" si="59"/>
        <v>22</v>
      </c>
      <c r="AA123">
        <f t="shared" si="57"/>
        <v>2</v>
      </c>
    </row>
    <row r="124" spans="1:27" x14ac:dyDescent="0.25">
      <c r="A124">
        <f t="shared" si="49"/>
        <v>15</v>
      </c>
      <c r="B124">
        <f t="shared" si="50"/>
        <v>18</v>
      </c>
      <c r="C124" t="str">
        <f t="shared" si="51"/>
        <v>43]</v>
      </c>
      <c r="D124">
        <f t="shared" si="41"/>
        <v>3</v>
      </c>
      <c r="E124" t="str">
        <f t="shared" si="52"/>
        <v>43</v>
      </c>
      <c r="F124" t="str">
        <f t="shared" si="53"/>
        <v>43</v>
      </c>
      <c r="G124">
        <f t="shared" si="54"/>
        <v>9</v>
      </c>
      <c r="H124" t="s">
        <v>387</v>
      </c>
      <c r="I124" t="str">
        <f t="shared" si="37"/>
        <v/>
      </c>
      <c r="J124" t="str">
        <f t="shared" si="38"/>
        <v/>
      </c>
      <c r="K124">
        <f t="shared" si="39"/>
        <v>20</v>
      </c>
      <c r="L124" t="str">
        <f t="shared" si="46"/>
        <v>|2,NE-Nebraska [43]</v>
      </c>
      <c r="N124" t="str">
        <f t="shared" si="55"/>
        <v>NE</v>
      </c>
      <c r="O124">
        <f t="shared" si="56"/>
        <v>2</v>
      </c>
      <c r="P124" t="str">
        <f t="shared" si="47"/>
        <v>Ge/St/NE</v>
      </c>
      <c r="Q124" s="1" t="str">
        <f t="shared" si="48"/>
        <v>NE-Nebraska [43]</v>
      </c>
      <c r="R124" s="2" t="str">
        <f t="shared" si="42"/>
        <v>&lt;li&gt;&lt;input type='checkbox'class= 'ckbx' name='43'value='Ge/St/NE'&gt; _ _ _ _NE-Nebraska [43]&lt;/li&gt;</v>
      </c>
      <c r="T124" t="str">
        <f t="shared" si="45"/>
        <v>&amp;nbsp;&amp;nbsp;&amp;nbsp;&amp;nbsp;</v>
      </c>
      <c r="U124" t="str">
        <f t="shared" si="40"/>
        <v xml:space="preserve"> _ _ _ _</v>
      </c>
      <c r="V124" s="1" t="s">
        <v>113</v>
      </c>
      <c r="W124" t="str">
        <f t="shared" si="58"/>
        <v>NE-Nebraska [43]</v>
      </c>
      <c r="X124" t="str">
        <f t="shared" si="43"/>
        <v>NE</v>
      </c>
      <c r="Y124">
        <f t="shared" si="44"/>
        <v>16</v>
      </c>
      <c r="Z124">
        <f t="shared" si="59"/>
        <v>18</v>
      </c>
      <c r="AA124">
        <f t="shared" si="57"/>
        <v>2</v>
      </c>
    </row>
    <row r="125" spans="1:27" x14ac:dyDescent="0.25">
      <c r="A125">
        <f t="shared" si="49"/>
        <v>20</v>
      </c>
      <c r="B125">
        <f t="shared" si="50"/>
        <v>23</v>
      </c>
      <c r="C125" t="str">
        <f t="shared" si="51"/>
        <v>43]</v>
      </c>
      <c r="D125">
        <f t="shared" si="41"/>
        <v>3</v>
      </c>
      <c r="E125" t="str">
        <f t="shared" si="52"/>
        <v>43</v>
      </c>
      <c r="F125" t="str">
        <f t="shared" si="53"/>
        <v>43</v>
      </c>
      <c r="G125">
        <f t="shared" si="54"/>
        <v>9</v>
      </c>
      <c r="H125" t="s">
        <v>388</v>
      </c>
      <c r="I125" t="str">
        <f t="shared" si="37"/>
        <v/>
      </c>
      <c r="J125" t="str">
        <f t="shared" si="38"/>
        <v/>
      </c>
      <c r="K125">
        <f t="shared" si="39"/>
        <v>20</v>
      </c>
      <c r="L125" t="str">
        <f t="shared" si="46"/>
        <v>|2,NH-New Hampshire [43]</v>
      </c>
      <c r="N125" t="str">
        <f t="shared" si="55"/>
        <v>NH</v>
      </c>
      <c r="O125">
        <f t="shared" si="56"/>
        <v>2</v>
      </c>
      <c r="P125" t="str">
        <f t="shared" si="47"/>
        <v>Ge/St/NH</v>
      </c>
      <c r="Q125" s="1" t="str">
        <f t="shared" si="48"/>
        <v>NH-New Hampshire [43]</v>
      </c>
      <c r="R125" s="2" t="str">
        <f t="shared" si="42"/>
        <v>&lt;li&gt;&lt;input type='checkbox'class= 'ckbx' name='43'value='Ge/St/NH'&gt; _ _ _ _NH-New Hampshire [43]&lt;/li&gt;</v>
      </c>
      <c r="T125" t="str">
        <f t="shared" si="45"/>
        <v>&amp;nbsp;&amp;nbsp;&amp;nbsp;&amp;nbsp;</v>
      </c>
      <c r="U125" t="str">
        <f t="shared" si="40"/>
        <v xml:space="preserve"> _ _ _ _</v>
      </c>
      <c r="V125" s="1" t="s">
        <v>114</v>
      </c>
      <c r="W125" t="str">
        <f t="shared" si="58"/>
        <v>NH-New Hampshire [43]</v>
      </c>
      <c r="X125" t="str">
        <f t="shared" si="43"/>
        <v>NH</v>
      </c>
      <c r="Y125">
        <f t="shared" si="44"/>
        <v>21</v>
      </c>
      <c r="Z125">
        <f t="shared" si="59"/>
        <v>23</v>
      </c>
      <c r="AA125">
        <f t="shared" si="57"/>
        <v>2</v>
      </c>
    </row>
    <row r="126" spans="1:27" x14ac:dyDescent="0.25">
      <c r="A126">
        <f t="shared" si="49"/>
        <v>17</v>
      </c>
      <c r="B126">
        <f t="shared" si="50"/>
        <v>20</v>
      </c>
      <c r="C126" t="str">
        <f t="shared" si="51"/>
        <v>43]</v>
      </c>
      <c r="D126">
        <f t="shared" si="41"/>
        <v>3</v>
      </c>
      <c r="E126" t="str">
        <f t="shared" si="52"/>
        <v>43</v>
      </c>
      <c r="F126" t="str">
        <f t="shared" si="53"/>
        <v>43</v>
      </c>
      <c r="G126">
        <f t="shared" si="54"/>
        <v>9</v>
      </c>
      <c r="H126" t="s">
        <v>389</v>
      </c>
      <c r="I126" t="str">
        <f t="shared" si="37"/>
        <v/>
      </c>
      <c r="J126" t="str">
        <f t="shared" si="38"/>
        <v/>
      </c>
      <c r="K126">
        <f t="shared" si="39"/>
        <v>20</v>
      </c>
      <c r="L126" t="str">
        <f t="shared" si="46"/>
        <v>|2,NJ-New Jersey [43]</v>
      </c>
      <c r="N126" t="str">
        <f t="shared" si="55"/>
        <v>NJ</v>
      </c>
      <c r="O126">
        <f t="shared" si="56"/>
        <v>2</v>
      </c>
      <c r="P126" t="str">
        <f t="shared" si="47"/>
        <v>Ge/St/NJ</v>
      </c>
      <c r="Q126" s="1" t="str">
        <f t="shared" si="48"/>
        <v>NJ-New Jersey [43]</v>
      </c>
      <c r="R126" s="2" t="str">
        <f t="shared" si="42"/>
        <v>&lt;li&gt;&lt;input type='checkbox'class= 'ckbx' name='43'value='Ge/St/NJ'&gt; _ _ _ _NJ-New Jersey [43]&lt;/li&gt;</v>
      </c>
      <c r="T126" t="str">
        <f t="shared" si="45"/>
        <v>&amp;nbsp;&amp;nbsp;&amp;nbsp;&amp;nbsp;</v>
      </c>
      <c r="U126" t="str">
        <f t="shared" si="40"/>
        <v xml:space="preserve"> _ _ _ _</v>
      </c>
      <c r="V126" s="1" t="s">
        <v>115</v>
      </c>
      <c r="W126" t="str">
        <f t="shared" si="58"/>
        <v>NJ-New Jersey [43]</v>
      </c>
      <c r="X126" t="str">
        <f t="shared" si="43"/>
        <v>NJ</v>
      </c>
      <c r="Y126">
        <f t="shared" si="44"/>
        <v>18</v>
      </c>
      <c r="Z126">
        <f t="shared" si="59"/>
        <v>20</v>
      </c>
      <c r="AA126">
        <f t="shared" si="57"/>
        <v>2</v>
      </c>
    </row>
    <row r="127" spans="1:27" x14ac:dyDescent="0.25">
      <c r="A127">
        <f t="shared" si="49"/>
        <v>17</v>
      </c>
      <c r="B127">
        <f t="shared" si="50"/>
        <v>20</v>
      </c>
      <c r="C127" t="str">
        <f t="shared" si="51"/>
        <v>46]</v>
      </c>
      <c r="D127">
        <f t="shared" si="41"/>
        <v>3</v>
      </c>
      <c r="E127" t="str">
        <f t="shared" si="52"/>
        <v>46</v>
      </c>
      <c r="F127" t="str">
        <f t="shared" si="53"/>
        <v>46</v>
      </c>
      <c r="G127">
        <f t="shared" si="54"/>
        <v>9</v>
      </c>
      <c r="H127" t="s">
        <v>390</v>
      </c>
      <c r="I127" t="str">
        <f t="shared" si="37"/>
        <v/>
      </c>
      <c r="J127" t="str">
        <f t="shared" si="38"/>
        <v/>
      </c>
      <c r="K127">
        <f t="shared" si="39"/>
        <v>20</v>
      </c>
      <c r="L127" t="str">
        <f t="shared" si="46"/>
        <v>|2,NM-New Mexico [46]</v>
      </c>
      <c r="N127" t="str">
        <f t="shared" si="55"/>
        <v>NM</v>
      </c>
      <c r="O127">
        <f t="shared" si="56"/>
        <v>2</v>
      </c>
      <c r="P127" t="str">
        <f t="shared" si="47"/>
        <v>Ge/St/NM</v>
      </c>
      <c r="Q127" s="1" t="str">
        <f t="shared" si="48"/>
        <v>NM-New Mexico [46]</v>
      </c>
      <c r="R127" s="2" t="str">
        <f t="shared" si="42"/>
        <v>&lt;li&gt;&lt;input type='checkbox'class= 'ckbx' name='46'value='Ge/St/NM'&gt; _ _ _ _NM-New Mexico [46]&lt;/li&gt;</v>
      </c>
      <c r="T127" t="str">
        <f t="shared" si="45"/>
        <v>&amp;nbsp;&amp;nbsp;&amp;nbsp;&amp;nbsp;</v>
      </c>
      <c r="U127" t="str">
        <f t="shared" si="40"/>
        <v xml:space="preserve"> _ _ _ _</v>
      </c>
      <c r="V127" s="1" t="s">
        <v>116</v>
      </c>
      <c r="W127" t="str">
        <f t="shared" si="58"/>
        <v>NM-New Mexico [46]</v>
      </c>
      <c r="X127" t="str">
        <f t="shared" si="43"/>
        <v>NM</v>
      </c>
      <c r="Y127">
        <f t="shared" si="44"/>
        <v>18</v>
      </c>
      <c r="Z127">
        <f t="shared" si="59"/>
        <v>20</v>
      </c>
      <c r="AA127">
        <f t="shared" si="57"/>
        <v>2</v>
      </c>
    </row>
    <row r="128" spans="1:27" x14ac:dyDescent="0.25">
      <c r="A128">
        <f t="shared" si="49"/>
        <v>13</v>
      </c>
      <c r="B128">
        <f t="shared" si="50"/>
        <v>16</v>
      </c>
      <c r="C128" t="str">
        <f t="shared" si="51"/>
        <v>46]</v>
      </c>
      <c r="D128">
        <f t="shared" si="41"/>
        <v>3</v>
      </c>
      <c r="E128" t="str">
        <f t="shared" si="52"/>
        <v>46</v>
      </c>
      <c r="F128" t="str">
        <f t="shared" si="53"/>
        <v>46</v>
      </c>
      <c r="G128">
        <f t="shared" si="54"/>
        <v>9</v>
      </c>
      <c r="H128" t="s">
        <v>391</v>
      </c>
      <c r="I128" t="str">
        <f t="shared" si="37"/>
        <v/>
      </c>
      <c r="J128" t="str">
        <f t="shared" si="38"/>
        <v/>
      </c>
      <c r="K128">
        <f t="shared" si="39"/>
        <v>20</v>
      </c>
      <c r="L128" t="str">
        <f t="shared" si="46"/>
        <v>|2,NV-Nevada [46]</v>
      </c>
      <c r="N128" t="str">
        <f t="shared" si="55"/>
        <v>NV</v>
      </c>
      <c r="O128">
        <f t="shared" si="56"/>
        <v>2</v>
      </c>
      <c r="P128" t="str">
        <f t="shared" si="47"/>
        <v>Ge/St/NV</v>
      </c>
      <c r="Q128" s="1" t="str">
        <f t="shared" si="48"/>
        <v>NV-Nevada [46]</v>
      </c>
      <c r="R128" s="2" t="str">
        <f t="shared" si="42"/>
        <v>&lt;li&gt;&lt;input type='checkbox'class= 'ckbx' name='46'value='Ge/St/NV'&gt; _ _ _ _NV-Nevada [46]&lt;/li&gt;</v>
      </c>
      <c r="T128" t="str">
        <f t="shared" si="45"/>
        <v>&amp;nbsp;&amp;nbsp;&amp;nbsp;&amp;nbsp;</v>
      </c>
      <c r="U128" t="str">
        <f t="shared" si="40"/>
        <v xml:space="preserve"> _ _ _ _</v>
      </c>
      <c r="V128" s="1" t="s">
        <v>117</v>
      </c>
      <c r="W128" t="str">
        <f t="shared" si="58"/>
        <v>NV-Nevada [46]</v>
      </c>
      <c r="X128" t="str">
        <f t="shared" si="43"/>
        <v>NV</v>
      </c>
      <c r="Y128">
        <f t="shared" si="44"/>
        <v>14</v>
      </c>
      <c r="Z128">
        <f t="shared" si="59"/>
        <v>16</v>
      </c>
      <c r="AA128">
        <f t="shared" si="57"/>
        <v>2</v>
      </c>
    </row>
    <row r="129" spans="1:27" x14ac:dyDescent="0.25">
      <c r="A129">
        <f t="shared" si="49"/>
        <v>15</v>
      </c>
      <c r="B129">
        <f t="shared" si="50"/>
        <v>18</v>
      </c>
      <c r="C129" t="str">
        <f t="shared" si="51"/>
        <v>43]</v>
      </c>
      <c r="D129">
        <f t="shared" si="41"/>
        <v>3</v>
      </c>
      <c r="E129" t="str">
        <f t="shared" si="52"/>
        <v>43</v>
      </c>
      <c r="F129" t="str">
        <f t="shared" si="53"/>
        <v>43</v>
      </c>
      <c r="G129">
        <f t="shared" si="54"/>
        <v>9</v>
      </c>
      <c r="H129" t="s">
        <v>392</v>
      </c>
      <c r="I129" t="str">
        <f t="shared" si="37"/>
        <v/>
      </c>
      <c r="J129" t="str">
        <f t="shared" si="38"/>
        <v/>
      </c>
      <c r="K129">
        <f t="shared" si="39"/>
        <v>20</v>
      </c>
      <c r="L129" t="str">
        <f t="shared" si="46"/>
        <v>|2,NY-New York [43]</v>
      </c>
      <c r="N129" t="str">
        <f t="shared" si="55"/>
        <v>NY</v>
      </c>
      <c r="O129">
        <f t="shared" si="56"/>
        <v>2</v>
      </c>
      <c r="P129" t="str">
        <f t="shared" si="47"/>
        <v>Ge/St/NY</v>
      </c>
      <c r="Q129" s="1" t="str">
        <f t="shared" si="48"/>
        <v>NY-New York [43]</v>
      </c>
      <c r="R129" s="2" t="str">
        <f t="shared" si="42"/>
        <v>&lt;li&gt;&lt;input type='checkbox'class= 'ckbx' name='43'value='Ge/St/NY'&gt; _ _ _ _NY-New York [43]&lt;/li&gt;</v>
      </c>
      <c r="T129" t="str">
        <f t="shared" si="45"/>
        <v>&amp;nbsp;&amp;nbsp;&amp;nbsp;&amp;nbsp;</v>
      </c>
      <c r="U129" t="str">
        <f t="shared" si="40"/>
        <v xml:space="preserve"> _ _ _ _</v>
      </c>
      <c r="V129" s="1" t="s">
        <v>118</v>
      </c>
      <c r="W129" t="str">
        <f t="shared" si="58"/>
        <v>NY-New York [43]</v>
      </c>
      <c r="X129" t="str">
        <f t="shared" si="43"/>
        <v>NY</v>
      </c>
      <c r="Y129">
        <f t="shared" si="44"/>
        <v>16</v>
      </c>
      <c r="Z129">
        <f t="shared" si="59"/>
        <v>18</v>
      </c>
      <c r="AA129">
        <f t="shared" si="57"/>
        <v>2</v>
      </c>
    </row>
    <row r="130" spans="1:27" x14ac:dyDescent="0.25">
      <c r="A130">
        <f t="shared" si="49"/>
        <v>11</v>
      </c>
      <c r="B130">
        <f t="shared" si="50"/>
        <v>14</v>
      </c>
      <c r="C130" t="str">
        <f t="shared" si="51"/>
        <v>43]</v>
      </c>
      <c r="D130">
        <f t="shared" si="41"/>
        <v>3</v>
      </c>
      <c r="E130" t="str">
        <f t="shared" si="52"/>
        <v>43</v>
      </c>
      <c r="F130" t="str">
        <f t="shared" si="53"/>
        <v>43</v>
      </c>
      <c r="G130">
        <f t="shared" si="54"/>
        <v>9</v>
      </c>
      <c r="H130" t="s">
        <v>393</v>
      </c>
      <c r="I130" t="str">
        <f t="shared" si="37"/>
        <v/>
      </c>
      <c r="J130" t="str">
        <f t="shared" si="38"/>
        <v/>
      </c>
      <c r="K130">
        <f t="shared" si="39"/>
        <v>20</v>
      </c>
      <c r="L130" t="str">
        <f t="shared" si="46"/>
        <v>|2,OH-Ohio [43]</v>
      </c>
      <c r="N130" t="str">
        <f t="shared" si="55"/>
        <v>OH</v>
      </c>
      <c r="O130">
        <f t="shared" si="56"/>
        <v>2</v>
      </c>
      <c r="P130" t="str">
        <f t="shared" si="47"/>
        <v>Ge/St/OH</v>
      </c>
      <c r="Q130" s="1" t="str">
        <f t="shared" si="48"/>
        <v>OH-Ohio [43]</v>
      </c>
      <c r="R130" s="2" t="str">
        <f t="shared" si="42"/>
        <v>&lt;li&gt;&lt;input type='checkbox'class= 'ckbx' name='43'value='Ge/St/OH'&gt; _ _ _ _OH-Ohio [43]&lt;/li&gt;</v>
      </c>
      <c r="T130" t="str">
        <f t="shared" si="45"/>
        <v>&amp;nbsp;&amp;nbsp;&amp;nbsp;&amp;nbsp;</v>
      </c>
      <c r="U130" t="str">
        <f t="shared" si="40"/>
        <v xml:space="preserve"> _ _ _ _</v>
      </c>
      <c r="V130" s="1" t="s">
        <v>119</v>
      </c>
      <c r="W130" t="str">
        <f t="shared" si="58"/>
        <v>OH-Ohio [43]</v>
      </c>
      <c r="X130" t="str">
        <f t="shared" si="43"/>
        <v>OH</v>
      </c>
      <c r="Y130">
        <f t="shared" si="44"/>
        <v>12</v>
      </c>
      <c r="Z130">
        <f t="shared" si="59"/>
        <v>14</v>
      </c>
      <c r="AA130">
        <f t="shared" si="57"/>
        <v>2</v>
      </c>
    </row>
    <row r="131" spans="1:27" x14ac:dyDescent="0.25">
      <c r="A131">
        <f t="shared" si="49"/>
        <v>15</v>
      </c>
      <c r="B131">
        <f t="shared" si="50"/>
        <v>18</v>
      </c>
      <c r="C131" t="str">
        <f t="shared" si="51"/>
        <v>43]</v>
      </c>
      <c r="D131">
        <f t="shared" si="41"/>
        <v>3</v>
      </c>
      <c r="E131" t="str">
        <f t="shared" si="52"/>
        <v>43</v>
      </c>
      <c r="F131" t="str">
        <f t="shared" si="53"/>
        <v>43</v>
      </c>
      <c r="G131">
        <f t="shared" si="54"/>
        <v>9</v>
      </c>
      <c r="H131" t="s">
        <v>394</v>
      </c>
      <c r="I131" t="str">
        <f t="shared" si="37"/>
        <v/>
      </c>
      <c r="J131" t="str">
        <f t="shared" si="38"/>
        <v/>
      </c>
      <c r="K131">
        <f t="shared" si="39"/>
        <v>20</v>
      </c>
      <c r="L131" t="str">
        <f t="shared" si="46"/>
        <v>|2,OK-Oklahoma [43]</v>
      </c>
      <c r="N131" t="str">
        <f t="shared" si="55"/>
        <v>OK</v>
      </c>
      <c r="O131">
        <f t="shared" si="56"/>
        <v>2</v>
      </c>
      <c r="P131" t="str">
        <f t="shared" si="47"/>
        <v>Ge/St/OK</v>
      </c>
      <c r="Q131" s="1" t="str">
        <f t="shared" si="48"/>
        <v>OK-Oklahoma [43]</v>
      </c>
      <c r="R131" s="2" t="str">
        <f t="shared" si="42"/>
        <v>&lt;li&gt;&lt;input type='checkbox'class= 'ckbx' name='43'value='Ge/St/OK'&gt; _ _ _ _OK-Oklahoma [43]&lt;/li&gt;</v>
      </c>
      <c r="T131" t="str">
        <f t="shared" si="45"/>
        <v>&amp;nbsp;&amp;nbsp;&amp;nbsp;&amp;nbsp;</v>
      </c>
      <c r="U131" t="str">
        <f t="shared" si="40"/>
        <v xml:space="preserve"> _ _ _ _</v>
      </c>
      <c r="V131" s="1" t="s">
        <v>120</v>
      </c>
      <c r="W131" t="str">
        <f t="shared" si="58"/>
        <v>OK-Oklahoma [43]</v>
      </c>
      <c r="X131" t="str">
        <f t="shared" si="43"/>
        <v>OK</v>
      </c>
      <c r="Y131">
        <f t="shared" si="44"/>
        <v>16</v>
      </c>
      <c r="Z131">
        <f t="shared" si="59"/>
        <v>18</v>
      </c>
      <c r="AA131">
        <f t="shared" si="57"/>
        <v>2</v>
      </c>
    </row>
    <row r="132" spans="1:27" x14ac:dyDescent="0.25">
      <c r="A132">
        <f t="shared" si="49"/>
        <v>13</v>
      </c>
      <c r="B132">
        <f t="shared" si="50"/>
        <v>16</v>
      </c>
      <c r="C132" t="str">
        <f t="shared" si="51"/>
        <v>43]</v>
      </c>
      <c r="D132">
        <f t="shared" si="41"/>
        <v>3</v>
      </c>
      <c r="E132" t="str">
        <f t="shared" si="52"/>
        <v>43</v>
      </c>
      <c r="F132" t="str">
        <f t="shared" si="53"/>
        <v>43</v>
      </c>
      <c r="G132">
        <f t="shared" si="54"/>
        <v>9</v>
      </c>
      <c r="H132" t="s">
        <v>395</v>
      </c>
      <c r="I132" t="str">
        <f t="shared" si="37"/>
        <v/>
      </c>
      <c r="J132" t="str">
        <f t="shared" si="38"/>
        <v/>
      </c>
      <c r="K132">
        <f t="shared" si="39"/>
        <v>20</v>
      </c>
      <c r="L132" t="str">
        <f t="shared" si="46"/>
        <v>|2,OR-Oregon [43]</v>
      </c>
      <c r="N132" t="str">
        <f t="shared" si="55"/>
        <v>OR</v>
      </c>
      <c r="O132">
        <f t="shared" si="56"/>
        <v>2</v>
      </c>
      <c r="P132" t="str">
        <f t="shared" si="47"/>
        <v>Ge/St/OR</v>
      </c>
      <c r="Q132" s="1" t="str">
        <f t="shared" si="48"/>
        <v>OR-Oregon [43]</v>
      </c>
      <c r="R132" s="2" t="str">
        <f t="shared" si="42"/>
        <v>&lt;li&gt;&lt;input type='checkbox'class= 'ckbx' name='43'value='Ge/St/OR'&gt; _ _ _ _OR-Oregon [43]&lt;/li&gt;</v>
      </c>
      <c r="T132" t="str">
        <f t="shared" si="45"/>
        <v>&amp;nbsp;&amp;nbsp;&amp;nbsp;&amp;nbsp;</v>
      </c>
      <c r="U132" t="str">
        <f t="shared" si="40"/>
        <v xml:space="preserve"> _ _ _ _</v>
      </c>
      <c r="V132" s="1" t="s">
        <v>121</v>
      </c>
      <c r="W132" t="str">
        <f t="shared" si="58"/>
        <v>OR-Oregon [43]</v>
      </c>
      <c r="X132" t="str">
        <f t="shared" si="43"/>
        <v>OR</v>
      </c>
      <c r="Y132">
        <f t="shared" si="44"/>
        <v>14</v>
      </c>
      <c r="Z132">
        <f t="shared" si="59"/>
        <v>16</v>
      </c>
      <c r="AA132">
        <f t="shared" si="57"/>
        <v>2</v>
      </c>
    </row>
    <row r="133" spans="1:27" x14ac:dyDescent="0.25">
      <c r="A133">
        <f t="shared" si="49"/>
        <v>19</v>
      </c>
      <c r="B133">
        <f t="shared" si="50"/>
        <v>22</v>
      </c>
      <c r="C133" t="str">
        <f t="shared" si="51"/>
        <v>23]</v>
      </c>
      <c r="D133">
        <f t="shared" si="41"/>
        <v>3</v>
      </c>
      <c r="E133" t="str">
        <f t="shared" si="52"/>
        <v>23</v>
      </c>
      <c r="F133" t="str">
        <f t="shared" si="53"/>
        <v>23</v>
      </c>
      <c r="G133">
        <f t="shared" si="54"/>
        <v>9</v>
      </c>
      <c r="H133" t="s">
        <v>396</v>
      </c>
      <c r="I133" t="str">
        <f t="shared" si="37"/>
        <v/>
      </c>
      <c r="J133" t="str">
        <f t="shared" si="38"/>
        <v/>
      </c>
      <c r="K133">
        <f t="shared" si="39"/>
        <v>20</v>
      </c>
      <c r="L133" t="str">
        <f t="shared" si="46"/>
        <v>|2,PA-Pennsylvania [23]</v>
      </c>
      <c r="N133" t="str">
        <f t="shared" si="55"/>
        <v>PA</v>
      </c>
      <c r="O133">
        <f t="shared" si="56"/>
        <v>2</v>
      </c>
      <c r="P133" t="str">
        <f t="shared" si="47"/>
        <v>Ge/St/PA</v>
      </c>
      <c r="Q133" s="1" t="str">
        <f t="shared" si="48"/>
        <v>PA-Pennsylvania [23]</v>
      </c>
      <c r="R133" s="2" t="str">
        <f t="shared" si="42"/>
        <v>&lt;li&gt;&lt;input type='checkbox'class= 'ckbx' name='23'value='Ge/St/PA'&gt; _ _ _ _PA-Pennsylvania [23]&lt;/li&gt;</v>
      </c>
      <c r="T133" t="str">
        <f t="shared" si="45"/>
        <v>&amp;nbsp;&amp;nbsp;&amp;nbsp;&amp;nbsp;</v>
      </c>
      <c r="U133" t="str">
        <f t="shared" si="40"/>
        <v xml:space="preserve"> _ _ _ _</v>
      </c>
      <c r="V133" s="1" t="s">
        <v>122</v>
      </c>
      <c r="W133" t="str">
        <f t="shared" si="58"/>
        <v>PA-Pennsylvania [23]</v>
      </c>
      <c r="X133" t="str">
        <f t="shared" si="43"/>
        <v>PA</v>
      </c>
      <c r="Y133">
        <f t="shared" si="44"/>
        <v>20</v>
      </c>
      <c r="Z133">
        <f t="shared" si="59"/>
        <v>22</v>
      </c>
      <c r="AA133">
        <f t="shared" si="57"/>
        <v>2</v>
      </c>
    </row>
    <row r="134" spans="1:27" x14ac:dyDescent="0.25">
      <c r="A134">
        <f t="shared" si="49"/>
        <v>19</v>
      </c>
      <c r="B134">
        <f t="shared" si="50"/>
        <v>22</v>
      </c>
      <c r="C134" t="str">
        <f t="shared" si="51"/>
        <v>44]</v>
      </c>
      <c r="D134">
        <f t="shared" si="41"/>
        <v>3</v>
      </c>
      <c r="E134" t="str">
        <f t="shared" si="52"/>
        <v>44</v>
      </c>
      <c r="F134" t="str">
        <f t="shared" si="53"/>
        <v>44</v>
      </c>
      <c r="G134">
        <f t="shared" si="54"/>
        <v>9</v>
      </c>
      <c r="H134" t="s">
        <v>397</v>
      </c>
      <c r="I134" t="str">
        <f t="shared" si="37"/>
        <v/>
      </c>
      <c r="J134" t="str">
        <f t="shared" si="38"/>
        <v/>
      </c>
      <c r="K134">
        <f t="shared" si="39"/>
        <v>20</v>
      </c>
      <c r="L134" t="str">
        <f t="shared" si="46"/>
        <v>|2,RI-Rhode Island [44]</v>
      </c>
      <c r="N134" t="str">
        <f t="shared" si="55"/>
        <v>RI</v>
      </c>
      <c r="O134">
        <f t="shared" si="56"/>
        <v>2</v>
      </c>
      <c r="P134" t="str">
        <f t="shared" si="47"/>
        <v>Ge/St/RI</v>
      </c>
      <c r="Q134" s="1" t="str">
        <f t="shared" si="48"/>
        <v>RI-Rhode Island [44]</v>
      </c>
      <c r="R134" s="2" t="str">
        <f t="shared" si="42"/>
        <v>&lt;li&gt;&lt;input type='checkbox'class= 'ckbx' name='44'value='Ge/St/RI'&gt; _ _ _ _RI-Rhode Island [44]&lt;/li&gt;</v>
      </c>
      <c r="T134" t="str">
        <f t="shared" si="45"/>
        <v>&amp;nbsp;&amp;nbsp;&amp;nbsp;&amp;nbsp;</v>
      </c>
      <c r="U134" t="str">
        <f t="shared" si="40"/>
        <v xml:space="preserve"> _ _ _ _</v>
      </c>
      <c r="V134" s="1" t="s">
        <v>123</v>
      </c>
      <c r="W134" t="str">
        <f t="shared" si="58"/>
        <v>RI-Rhode Island [44]</v>
      </c>
      <c r="X134" t="str">
        <f t="shared" si="43"/>
        <v>RI</v>
      </c>
      <c r="Y134">
        <f t="shared" si="44"/>
        <v>20</v>
      </c>
      <c r="Z134">
        <f t="shared" si="59"/>
        <v>22</v>
      </c>
      <c r="AA134">
        <f t="shared" si="57"/>
        <v>2</v>
      </c>
    </row>
    <row r="135" spans="1:27" x14ac:dyDescent="0.25">
      <c r="A135">
        <f t="shared" si="49"/>
        <v>21</v>
      </c>
      <c r="B135">
        <f t="shared" si="50"/>
        <v>24</v>
      </c>
      <c r="C135" t="str">
        <f t="shared" si="51"/>
        <v>44]</v>
      </c>
      <c r="D135">
        <f t="shared" si="41"/>
        <v>3</v>
      </c>
      <c r="E135" t="str">
        <f t="shared" si="52"/>
        <v>44</v>
      </c>
      <c r="F135" t="str">
        <f t="shared" si="53"/>
        <v>44</v>
      </c>
      <c r="G135">
        <f t="shared" si="54"/>
        <v>9</v>
      </c>
      <c r="H135" t="s">
        <v>398</v>
      </c>
      <c r="I135" t="str">
        <f t="shared" si="37"/>
        <v/>
      </c>
      <c r="J135" t="str">
        <f t="shared" si="38"/>
        <v/>
      </c>
      <c r="K135">
        <f t="shared" si="39"/>
        <v>20</v>
      </c>
      <c r="L135" t="str">
        <f t="shared" si="46"/>
        <v>|2,SC-South Carolina [44]</v>
      </c>
      <c r="N135" t="str">
        <f t="shared" si="55"/>
        <v>SC</v>
      </c>
      <c r="O135">
        <f t="shared" si="56"/>
        <v>2</v>
      </c>
      <c r="P135" t="str">
        <f t="shared" si="47"/>
        <v>Ge/St/SC</v>
      </c>
      <c r="Q135" s="1" t="str">
        <f t="shared" si="48"/>
        <v>SC-South Carolina [44]</v>
      </c>
      <c r="R135" s="2" t="str">
        <f t="shared" si="42"/>
        <v>&lt;li&gt;&lt;input type='checkbox'class= 'ckbx' name='44'value='Ge/St/SC'&gt; _ _ _ _SC-South Carolina [44]&lt;/li&gt;</v>
      </c>
      <c r="T135" t="str">
        <f t="shared" si="45"/>
        <v>&amp;nbsp;&amp;nbsp;&amp;nbsp;&amp;nbsp;</v>
      </c>
      <c r="U135" t="str">
        <f t="shared" si="40"/>
        <v xml:space="preserve"> _ _ _ _</v>
      </c>
      <c r="V135" s="1" t="s">
        <v>124</v>
      </c>
      <c r="W135" t="str">
        <f t="shared" si="58"/>
        <v>SC-South Carolina [44]</v>
      </c>
      <c r="X135" t="str">
        <f t="shared" si="43"/>
        <v>SC</v>
      </c>
      <c r="Y135">
        <f t="shared" si="44"/>
        <v>22</v>
      </c>
      <c r="Z135">
        <f t="shared" si="59"/>
        <v>24</v>
      </c>
      <c r="AA135">
        <f t="shared" si="57"/>
        <v>2</v>
      </c>
    </row>
    <row r="136" spans="1:27" x14ac:dyDescent="0.25">
      <c r="A136">
        <f t="shared" si="49"/>
        <v>19</v>
      </c>
      <c r="B136">
        <f t="shared" si="50"/>
        <v>22</v>
      </c>
      <c r="C136" t="str">
        <f t="shared" si="51"/>
        <v>45]</v>
      </c>
      <c r="D136">
        <f t="shared" si="41"/>
        <v>3</v>
      </c>
      <c r="E136" t="str">
        <f t="shared" si="52"/>
        <v>45</v>
      </c>
      <c r="F136" t="str">
        <f t="shared" si="53"/>
        <v>45</v>
      </c>
      <c r="G136">
        <f t="shared" si="54"/>
        <v>9</v>
      </c>
      <c r="H136" t="s">
        <v>399</v>
      </c>
      <c r="I136" t="str">
        <f t="shared" si="37"/>
        <v/>
      </c>
      <c r="J136" t="str">
        <f t="shared" si="38"/>
        <v/>
      </c>
      <c r="K136">
        <f t="shared" si="39"/>
        <v>20</v>
      </c>
      <c r="L136" t="str">
        <f t="shared" si="46"/>
        <v>|2,SD-South Dakota [45]</v>
      </c>
      <c r="N136" t="str">
        <f t="shared" si="55"/>
        <v>SD</v>
      </c>
      <c r="O136">
        <f t="shared" si="56"/>
        <v>2</v>
      </c>
      <c r="P136" t="str">
        <f t="shared" si="47"/>
        <v>Ge/St/SD</v>
      </c>
      <c r="Q136" s="1" t="str">
        <f t="shared" si="48"/>
        <v>SD-South Dakota [45]</v>
      </c>
      <c r="R136" s="2" t="str">
        <f t="shared" si="42"/>
        <v>&lt;li&gt;&lt;input type='checkbox'class= 'ckbx' name='45'value='Ge/St/SD'&gt; _ _ _ _SD-South Dakota [45]&lt;/li&gt;</v>
      </c>
      <c r="T136" t="str">
        <f t="shared" si="45"/>
        <v>&amp;nbsp;&amp;nbsp;&amp;nbsp;&amp;nbsp;</v>
      </c>
      <c r="U136" t="str">
        <f t="shared" si="40"/>
        <v xml:space="preserve"> _ _ _ _</v>
      </c>
      <c r="V136" s="1" t="s">
        <v>125</v>
      </c>
      <c r="W136" t="str">
        <f t="shared" si="58"/>
        <v>SD-South Dakota [45]</v>
      </c>
      <c r="X136" t="str">
        <f t="shared" si="43"/>
        <v>SD</v>
      </c>
      <c r="Y136">
        <f t="shared" si="44"/>
        <v>20</v>
      </c>
      <c r="Z136">
        <f t="shared" si="59"/>
        <v>22</v>
      </c>
      <c r="AA136">
        <f t="shared" si="57"/>
        <v>2</v>
      </c>
    </row>
    <row r="137" spans="1:27" x14ac:dyDescent="0.25">
      <c r="A137">
        <f t="shared" si="49"/>
        <v>16</v>
      </c>
      <c r="B137">
        <f t="shared" si="50"/>
        <v>19</v>
      </c>
      <c r="C137" t="str">
        <f t="shared" si="51"/>
        <v>44]</v>
      </c>
      <c r="D137">
        <f t="shared" si="41"/>
        <v>3</v>
      </c>
      <c r="E137" t="str">
        <f t="shared" si="52"/>
        <v>44</v>
      </c>
      <c r="F137" t="str">
        <f t="shared" si="53"/>
        <v>44</v>
      </c>
      <c r="G137">
        <f t="shared" si="54"/>
        <v>9</v>
      </c>
      <c r="H137" t="s">
        <v>400</v>
      </c>
      <c r="I137" t="str">
        <f t="shared" si="37"/>
        <v/>
      </c>
      <c r="J137" t="str">
        <f t="shared" si="38"/>
        <v/>
      </c>
      <c r="K137">
        <f t="shared" si="39"/>
        <v>20</v>
      </c>
      <c r="L137" t="str">
        <f t="shared" si="46"/>
        <v>|2,TN-Tennessee [44]</v>
      </c>
      <c r="N137" t="str">
        <f t="shared" si="55"/>
        <v>TN</v>
      </c>
      <c r="O137">
        <f t="shared" si="56"/>
        <v>2</v>
      </c>
      <c r="P137" t="str">
        <f t="shared" si="47"/>
        <v>Ge/St/TN</v>
      </c>
      <c r="Q137" s="1" t="str">
        <f t="shared" si="48"/>
        <v>TN-Tennessee [44]</v>
      </c>
      <c r="R137" s="2" t="str">
        <f t="shared" si="42"/>
        <v>&lt;li&gt;&lt;input type='checkbox'class= 'ckbx' name='44'value='Ge/St/TN'&gt; _ _ _ _TN-Tennessee [44]&lt;/li&gt;</v>
      </c>
      <c r="T137" t="str">
        <f t="shared" si="45"/>
        <v>&amp;nbsp;&amp;nbsp;&amp;nbsp;&amp;nbsp;</v>
      </c>
      <c r="U137" t="str">
        <f t="shared" si="40"/>
        <v xml:space="preserve"> _ _ _ _</v>
      </c>
      <c r="V137" s="1" t="s">
        <v>126</v>
      </c>
      <c r="W137" t="str">
        <f t="shared" si="58"/>
        <v>TN-Tennessee [44]</v>
      </c>
      <c r="X137" t="str">
        <f t="shared" si="43"/>
        <v>TN</v>
      </c>
      <c r="Y137">
        <f t="shared" si="44"/>
        <v>17</v>
      </c>
      <c r="Z137">
        <f t="shared" si="59"/>
        <v>19</v>
      </c>
      <c r="AA137">
        <f t="shared" si="57"/>
        <v>2</v>
      </c>
    </row>
    <row r="138" spans="1:27" x14ac:dyDescent="0.25">
      <c r="A138">
        <f t="shared" si="49"/>
        <v>12</v>
      </c>
      <c r="B138">
        <f t="shared" si="50"/>
        <v>15</v>
      </c>
      <c r="C138" t="str">
        <f t="shared" si="51"/>
        <v>41]</v>
      </c>
      <c r="D138">
        <f t="shared" si="41"/>
        <v>3</v>
      </c>
      <c r="E138" t="str">
        <f t="shared" si="52"/>
        <v>41</v>
      </c>
      <c r="F138" t="str">
        <f t="shared" si="53"/>
        <v>41</v>
      </c>
      <c r="G138">
        <f t="shared" si="54"/>
        <v>9</v>
      </c>
      <c r="H138" t="s">
        <v>401</v>
      </c>
      <c r="I138" t="str">
        <f t="shared" si="37"/>
        <v/>
      </c>
      <c r="J138" t="str">
        <f t="shared" si="38"/>
        <v/>
      </c>
      <c r="K138">
        <f t="shared" si="39"/>
        <v>20</v>
      </c>
      <c r="L138" t="str">
        <f t="shared" si="46"/>
        <v>|2,TX-Texas [41]</v>
      </c>
      <c r="N138" t="str">
        <f t="shared" si="55"/>
        <v>TX</v>
      </c>
      <c r="O138">
        <f t="shared" si="56"/>
        <v>2</v>
      </c>
      <c r="P138" t="str">
        <f t="shared" si="47"/>
        <v>Ge/St/TX</v>
      </c>
      <c r="Q138" s="1" t="str">
        <f t="shared" si="48"/>
        <v>TX-Texas [41]</v>
      </c>
      <c r="R138" s="2" t="str">
        <f t="shared" si="42"/>
        <v>&lt;li&gt;&lt;input type='checkbox'class= 'ckbx' name='41'value='Ge/St/TX'&gt; _ _ _ _TX-Texas [41]&lt;/li&gt;</v>
      </c>
      <c r="T138" t="str">
        <f t="shared" si="45"/>
        <v>&amp;nbsp;&amp;nbsp;&amp;nbsp;&amp;nbsp;</v>
      </c>
      <c r="U138" t="str">
        <f t="shared" si="40"/>
        <v xml:space="preserve"> _ _ _ _</v>
      </c>
      <c r="V138" s="1" t="s">
        <v>127</v>
      </c>
      <c r="W138" t="str">
        <f t="shared" si="58"/>
        <v>TX-Texas [41]</v>
      </c>
      <c r="X138" t="str">
        <f t="shared" si="43"/>
        <v>TX</v>
      </c>
      <c r="Y138">
        <f t="shared" si="44"/>
        <v>13</v>
      </c>
      <c r="Z138">
        <f t="shared" si="59"/>
        <v>15</v>
      </c>
      <c r="AA138">
        <f t="shared" si="57"/>
        <v>2</v>
      </c>
    </row>
    <row r="139" spans="1:27" x14ac:dyDescent="0.25">
      <c r="A139">
        <f t="shared" si="49"/>
        <v>11</v>
      </c>
      <c r="B139">
        <f t="shared" si="50"/>
        <v>14</v>
      </c>
      <c r="C139" t="str">
        <f t="shared" si="51"/>
        <v>42]</v>
      </c>
      <c r="D139">
        <f t="shared" si="41"/>
        <v>3</v>
      </c>
      <c r="E139" t="str">
        <f t="shared" si="52"/>
        <v>42</v>
      </c>
      <c r="F139" t="str">
        <f t="shared" si="53"/>
        <v>42</v>
      </c>
      <c r="G139">
        <f t="shared" si="54"/>
        <v>9</v>
      </c>
      <c r="H139" t="s">
        <v>402</v>
      </c>
      <c r="I139" t="str">
        <f t="shared" ref="I139:I202" si="60">IF(O139=0,"&lt;b&gt;","")</f>
        <v/>
      </c>
      <c r="J139" t="str">
        <f t="shared" ref="J139:J202" si="61">IF(O139=0,"&lt;/b&gt;","")</f>
        <v/>
      </c>
      <c r="K139">
        <f t="shared" ref="K139:K202" si="62">24 - (O139*2)</f>
        <v>20</v>
      </c>
      <c r="L139" t="str">
        <f t="shared" si="46"/>
        <v>|2,UT-Utah [42]</v>
      </c>
      <c r="N139" t="str">
        <f t="shared" si="55"/>
        <v>UT</v>
      </c>
      <c r="O139">
        <f t="shared" si="56"/>
        <v>2</v>
      </c>
      <c r="P139" t="str">
        <f t="shared" si="47"/>
        <v>Ge/St/UT</v>
      </c>
      <c r="Q139" s="1" t="str">
        <f t="shared" si="48"/>
        <v>UT-Utah [42]</v>
      </c>
      <c r="R139" s="2" t="str">
        <f t="shared" si="42"/>
        <v>&lt;li&gt;&lt;input type='checkbox'class= 'ckbx' name='42'value='Ge/St/UT'&gt; _ _ _ _UT-Utah [42]&lt;/li&gt;</v>
      </c>
      <c r="T139" t="str">
        <f t="shared" si="45"/>
        <v>&amp;nbsp;&amp;nbsp;&amp;nbsp;&amp;nbsp;</v>
      </c>
      <c r="U139" t="str">
        <f t="shared" ref="U139:U202" si="63">IF(AA139=0,"",IF(AA139=1," _ _ ",IF(AA139=2," _ _ _ _",IF(AA139=3," _ _ _ _ _ _;",IF(AA139=4," _ _ _ _ _ _ _ _",IF(AA139=5," _ _ _ _ _ _ _ _ _ _",IF(AA139=6," _ _ _ _ _ _ _ _ _ _ _ _",IF(AA139=7," _ _ _ _ _ _ _ _ _ _ _ _ _ _"))))))))</f>
        <v xml:space="preserve"> _ _ _ _</v>
      </c>
      <c r="V139" s="1" t="s">
        <v>128</v>
      </c>
      <c r="W139" t="str">
        <f t="shared" si="58"/>
        <v>UT-Utah [42]</v>
      </c>
      <c r="X139" t="str">
        <f t="shared" si="43"/>
        <v>UT</v>
      </c>
      <c r="Y139">
        <f t="shared" si="44"/>
        <v>12</v>
      </c>
      <c r="Z139">
        <f t="shared" si="59"/>
        <v>14</v>
      </c>
      <c r="AA139">
        <f t="shared" si="57"/>
        <v>2</v>
      </c>
    </row>
    <row r="140" spans="1:27" x14ac:dyDescent="0.25">
      <c r="A140">
        <f t="shared" si="49"/>
        <v>15</v>
      </c>
      <c r="B140">
        <f t="shared" si="50"/>
        <v>18</v>
      </c>
      <c r="C140" t="str">
        <f t="shared" si="51"/>
        <v>41]</v>
      </c>
      <c r="D140">
        <f t="shared" ref="D140:D203" si="64">LEN(C140)</f>
        <v>3</v>
      </c>
      <c r="E140" t="str">
        <f t="shared" si="52"/>
        <v>41</v>
      </c>
      <c r="F140" t="str">
        <f t="shared" si="53"/>
        <v>41</v>
      </c>
      <c r="G140">
        <f t="shared" si="54"/>
        <v>9</v>
      </c>
      <c r="H140" t="s">
        <v>403</v>
      </c>
      <c r="I140" t="str">
        <f t="shared" si="60"/>
        <v/>
      </c>
      <c r="J140" t="str">
        <f t="shared" si="61"/>
        <v/>
      </c>
      <c r="K140">
        <f t="shared" si="62"/>
        <v>20</v>
      </c>
      <c r="L140" t="str">
        <f t="shared" si="46"/>
        <v>|2,VA-Virginia [41]</v>
      </c>
      <c r="N140" t="str">
        <f t="shared" si="55"/>
        <v>VA</v>
      </c>
      <c r="O140">
        <f t="shared" si="56"/>
        <v>2</v>
      </c>
      <c r="P140" t="str">
        <f t="shared" si="47"/>
        <v>Ge/St/VA</v>
      </c>
      <c r="Q140" s="1" t="str">
        <f t="shared" si="48"/>
        <v>VA-Virginia [41]</v>
      </c>
      <c r="R140" s="2" t="str">
        <f t="shared" ref="R140:R203" si="65">"&lt;li&gt;&lt;input type='checkbox'class= 'ckbx' name='"&amp;F140&amp;"'value='"&amp;P140&amp;"'&gt;"&amp;I140&amp;U140&amp;W140&amp;J140&amp;"&lt;/li&gt;"</f>
        <v>&lt;li&gt;&lt;input type='checkbox'class= 'ckbx' name='41'value='Ge/St/VA'&gt; _ _ _ _VA-Virginia [41]&lt;/li&gt;</v>
      </c>
      <c r="T140" t="str">
        <f t="shared" si="45"/>
        <v>&amp;nbsp;&amp;nbsp;&amp;nbsp;&amp;nbsp;</v>
      </c>
      <c r="U140" t="str">
        <f t="shared" si="63"/>
        <v xml:space="preserve"> _ _ _ _</v>
      </c>
      <c r="V140" s="1" t="s">
        <v>129</v>
      </c>
      <c r="W140" t="str">
        <f t="shared" si="58"/>
        <v>VA-Virginia [41]</v>
      </c>
      <c r="X140" t="str">
        <f t="shared" ref="X140:X203" si="66">MID(W140,1,2)</f>
        <v>VA</v>
      </c>
      <c r="Y140">
        <f t="shared" ref="Y140:Y203" si="67">LEN(W140)</f>
        <v>16</v>
      </c>
      <c r="Z140">
        <f t="shared" si="59"/>
        <v>18</v>
      </c>
      <c r="AA140">
        <f t="shared" si="57"/>
        <v>2</v>
      </c>
    </row>
    <row r="141" spans="1:27" x14ac:dyDescent="0.25">
      <c r="A141">
        <f t="shared" si="49"/>
        <v>14</v>
      </c>
      <c r="B141">
        <f t="shared" si="50"/>
        <v>17</v>
      </c>
      <c r="C141" t="str">
        <f t="shared" si="51"/>
        <v>44]</v>
      </c>
      <c r="D141">
        <f t="shared" si="64"/>
        <v>3</v>
      </c>
      <c r="E141" t="str">
        <f t="shared" si="52"/>
        <v>44</v>
      </c>
      <c r="F141" t="str">
        <f t="shared" si="53"/>
        <v>44</v>
      </c>
      <c r="G141">
        <f t="shared" si="54"/>
        <v>9</v>
      </c>
      <c r="H141" t="s">
        <v>404</v>
      </c>
      <c r="I141" t="str">
        <f t="shared" si="60"/>
        <v/>
      </c>
      <c r="J141" t="str">
        <f t="shared" si="61"/>
        <v/>
      </c>
      <c r="K141">
        <f t="shared" si="62"/>
        <v>20</v>
      </c>
      <c r="L141" t="str">
        <f t="shared" si="46"/>
        <v>|2,VT-Vermont [44]</v>
      </c>
      <c r="N141" t="str">
        <f t="shared" si="55"/>
        <v>VT</v>
      </c>
      <c r="O141">
        <f t="shared" si="56"/>
        <v>2</v>
      </c>
      <c r="P141" t="str">
        <f t="shared" si="47"/>
        <v>Ge/St/VT</v>
      </c>
      <c r="Q141" s="1" t="str">
        <f t="shared" si="48"/>
        <v>VT-Vermont [44]</v>
      </c>
      <c r="R141" s="2" t="str">
        <f t="shared" si="65"/>
        <v>&lt;li&gt;&lt;input type='checkbox'class= 'ckbx' name='44'value='Ge/St/VT'&gt; _ _ _ _VT-Vermont [44]&lt;/li&gt;</v>
      </c>
      <c r="T141" t="str">
        <f t="shared" ref="T141:T204" si="68">IF(AA141=0,"",IF(AA141=1,"&amp;nbsp;&amp;nbsp;",IF(AA141=2,"&amp;nbsp;&amp;nbsp;&amp;nbsp;&amp;nbsp;",IF(AA141=3,"&amp;nbsp;&amp;nbsp;&amp;nbsp;&amp;nbsp;&amp;nbsp;&amp;nbsp;",IF(AA141=4,"&amp;nbsp;&amp;nbsp;&amp;nbsp;&amp;nbsp;&amp;nbsp;&amp;nbsp;&amp;nbsp;&amp;nbsp;",IF(AA141=5,"&amp;nbsp;&amp;nbsp;&amp;nbsp;&amp;nbsp;&amp;nbsp;&amp;nbsp;&amp;nbsp;&amp;nbsp;&amp;nbsp;&amp;nbsp;&amp;nbsp;&amp;nbsp;"))))))</f>
        <v>&amp;nbsp;&amp;nbsp;&amp;nbsp;&amp;nbsp;</v>
      </c>
      <c r="U141" t="str">
        <f t="shared" si="63"/>
        <v xml:space="preserve"> _ _ _ _</v>
      </c>
      <c r="V141" s="1" t="s">
        <v>130</v>
      </c>
      <c r="W141" t="str">
        <f t="shared" si="58"/>
        <v>VT-Vermont [44]</v>
      </c>
      <c r="X141" t="str">
        <f t="shared" si="66"/>
        <v>VT</v>
      </c>
      <c r="Y141">
        <f t="shared" si="67"/>
        <v>15</v>
      </c>
      <c r="Z141">
        <f t="shared" si="59"/>
        <v>17</v>
      </c>
      <c r="AA141">
        <f t="shared" si="57"/>
        <v>2</v>
      </c>
    </row>
    <row r="142" spans="1:27" x14ac:dyDescent="0.25">
      <c r="A142">
        <f t="shared" si="49"/>
        <v>17</v>
      </c>
      <c r="B142">
        <f t="shared" si="50"/>
        <v>20</v>
      </c>
      <c r="C142" t="str">
        <f t="shared" si="51"/>
        <v>39]</v>
      </c>
      <c r="D142">
        <f t="shared" si="64"/>
        <v>3</v>
      </c>
      <c r="E142" t="str">
        <f t="shared" si="52"/>
        <v>39</v>
      </c>
      <c r="F142" t="str">
        <f t="shared" si="53"/>
        <v>39</v>
      </c>
      <c r="G142">
        <f t="shared" si="54"/>
        <v>9</v>
      </c>
      <c r="H142" t="s">
        <v>405</v>
      </c>
      <c r="I142" t="str">
        <f t="shared" si="60"/>
        <v/>
      </c>
      <c r="J142" t="str">
        <f t="shared" si="61"/>
        <v/>
      </c>
      <c r="K142">
        <f t="shared" si="62"/>
        <v>20</v>
      </c>
      <c r="L142" t="str">
        <f t="shared" si="46"/>
        <v>|2,WA-Washington [39]</v>
      </c>
      <c r="N142" t="str">
        <f t="shared" si="55"/>
        <v>WA</v>
      </c>
      <c r="O142">
        <f t="shared" si="56"/>
        <v>2</v>
      </c>
      <c r="P142" t="str">
        <f t="shared" si="47"/>
        <v>Ge/St/WA</v>
      </c>
      <c r="Q142" s="1" t="str">
        <f t="shared" si="48"/>
        <v>WA-Washington [39]</v>
      </c>
      <c r="R142" s="2" t="str">
        <f t="shared" si="65"/>
        <v>&lt;li&gt;&lt;input type='checkbox'class= 'ckbx' name='39'value='Ge/St/WA'&gt; _ _ _ _WA-Washington [39]&lt;/li&gt;</v>
      </c>
      <c r="T142" t="str">
        <f t="shared" si="68"/>
        <v>&amp;nbsp;&amp;nbsp;&amp;nbsp;&amp;nbsp;</v>
      </c>
      <c r="U142" t="str">
        <f t="shared" si="63"/>
        <v xml:space="preserve"> _ _ _ _</v>
      </c>
      <c r="V142" s="1" t="s">
        <v>131</v>
      </c>
      <c r="W142" t="str">
        <f t="shared" si="58"/>
        <v>WA-Washington [39]</v>
      </c>
      <c r="X142" t="str">
        <f t="shared" si="66"/>
        <v>WA</v>
      </c>
      <c r="Y142">
        <f t="shared" si="67"/>
        <v>18</v>
      </c>
      <c r="Z142">
        <f t="shared" si="59"/>
        <v>20</v>
      </c>
      <c r="AA142">
        <f t="shared" si="57"/>
        <v>2</v>
      </c>
    </row>
    <row r="143" spans="1:27" x14ac:dyDescent="0.25">
      <c r="A143">
        <f t="shared" si="49"/>
        <v>16</v>
      </c>
      <c r="B143">
        <f t="shared" si="50"/>
        <v>19</v>
      </c>
      <c r="C143" t="str">
        <f t="shared" si="51"/>
        <v>44]</v>
      </c>
      <c r="D143">
        <f t="shared" si="64"/>
        <v>3</v>
      </c>
      <c r="E143" t="str">
        <f t="shared" si="52"/>
        <v>44</v>
      </c>
      <c r="F143" t="str">
        <f t="shared" si="53"/>
        <v>44</v>
      </c>
      <c r="G143">
        <f t="shared" si="54"/>
        <v>9</v>
      </c>
      <c r="H143" t="s">
        <v>406</v>
      </c>
      <c r="I143" t="str">
        <f t="shared" si="60"/>
        <v/>
      </c>
      <c r="J143" t="str">
        <f t="shared" si="61"/>
        <v/>
      </c>
      <c r="K143">
        <f t="shared" si="62"/>
        <v>20</v>
      </c>
      <c r="L143" t="str">
        <f t="shared" si="46"/>
        <v>|2,WI-Wisconsin [44]</v>
      </c>
      <c r="N143" t="str">
        <f t="shared" si="55"/>
        <v>WI</v>
      </c>
      <c r="O143">
        <f t="shared" si="56"/>
        <v>2</v>
      </c>
      <c r="P143" t="str">
        <f t="shared" si="47"/>
        <v>Ge/St/WI</v>
      </c>
      <c r="Q143" s="1" t="str">
        <f t="shared" si="48"/>
        <v>WI-Wisconsin [44]</v>
      </c>
      <c r="R143" s="2" t="str">
        <f t="shared" si="65"/>
        <v>&lt;li&gt;&lt;input type='checkbox'class= 'ckbx' name='44'value='Ge/St/WI'&gt; _ _ _ _WI-Wisconsin [44]&lt;/li&gt;</v>
      </c>
      <c r="T143" t="str">
        <f t="shared" si="68"/>
        <v>&amp;nbsp;&amp;nbsp;&amp;nbsp;&amp;nbsp;</v>
      </c>
      <c r="U143" t="str">
        <f t="shared" si="63"/>
        <v xml:space="preserve"> _ _ _ _</v>
      </c>
      <c r="V143" s="1" t="s">
        <v>132</v>
      </c>
      <c r="W143" t="str">
        <f t="shared" si="58"/>
        <v>WI-Wisconsin [44]</v>
      </c>
      <c r="X143" t="str">
        <f t="shared" si="66"/>
        <v>WI</v>
      </c>
      <c r="Y143">
        <f t="shared" si="67"/>
        <v>17</v>
      </c>
      <c r="Z143">
        <f t="shared" si="59"/>
        <v>19</v>
      </c>
      <c r="AA143">
        <f t="shared" si="57"/>
        <v>2</v>
      </c>
    </row>
    <row r="144" spans="1:27" x14ac:dyDescent="0.25">
      <c r="A144">
        <f t="shared" si="49"/>
        <v>20</v>
      </c>
      <c r="B144">
        <f t="shared" si="50"/>
        <v>23</v>
      </c>
      <c r="C144" t="str">
        <f t="shared" si="51"/>
        <v>35]</v>
      </c>
      <c r="D144">
        <f t="shared" si="64"/>
        <v>3</v>
      </c>
      <c r="E144" t="str">
        <f t="shared" si="52"/>
        <v>35</v>
      </c>
      <c r="F144" t="str">
        <f t="shared" si="53"/>
        <v>35</v>
      </c>
      <c r="G144">
        <f t="shared" si="54"/>
        <v>9</v>
      </c>
      <c r="H144" t="s">
        <v>407</v>
      </c>
      <c r="I144" t="str">
        <f t="shared" si="60"/>
        <v/>
      </c>
      <c r="J144" t="str">
        <f t="shared" si="61"/>
        <v/>
      </c>
      <c r="K144">
        <f t="shared" si="62"/>
        <v>20</v>
      </c>
      <c r="L144" t="str">
        <f t="shared" si="46"/>
        <v>|2,WV-West Virginia [35]</v>
      </c>
      <c r="N144" t="str">
        <f t="shared" si="55"/>
        <v>WV</v>
      </c>
      <c r="O144">
        <f t="shared" si="56"/>
        <v>2</v>
      </c>
      <c r="P144" t="str">
        <f t="shared" si="47"/>
        <v>Ge/St/WV</v>
      </c>
      <c r="Q144" s="1" t="str">
        <f t="shared" si="48"/>
        <v>WV-West Virginia [35]</v>
      </c>
      <c r="R144" s="2" t="str">
        <f t="shared" si="65"/>
        <v>&lt;li&gt;&lt;input type='checkbox'class= 'ckbx' name='35'value='Ge/St/WV'&gt; _ _ _ _WV-West Virginia [35]&lt;/li&gt;</v>
      </c>
      <c r="T144" t="str">
        <f t="shared" si="68"/>
        <v>&amp;nbsp;&amp;nbsp;&amp;nbsp;&amp;nbsp;</v>
      </c>
      <c r="U144" t="str">
        <f t="shared" si="63"/>
        <v xml:space="preserve"> _ _ _ _</v>
      </c>
      <c r="V144" s="1" t="s">
        <v>133</v>
      </c>
      <c r="W144" t="str">
        <f t="shared" si="58"/>
        <v>WV-West Virginia [35]</v>
      </c>
      <c r="X144" t="str">
        <f t="shared" si="66"/>
        <v>WV</v>
      </c>
      <c r="Y144">
        <f t="shared" si="67"/>
        <v>21</v>
      </c>
      <c r="Z144">
        <f t="shared" si="59"/>
        <v>23</v>
      </c>
      <c r="AA144">
        <f t="shared" si="57"/>
        <v>2</v>
      </c>
    </row>
    <row r="145" spans="1:27" x14ac:dyDescent="0.25">
      <c r="A145">
        <f t="shared" si="49"/>
        <v>14</v>
      </c>
      <c r="B145">
        <f t="shared" si="50"/>
        <v>17</v>
      </c>
      <c r="C145" t="str">
        <f t="shared" si="51"/>
        <v>35]</v>
      </c>
      <c r="D145">
        <f t="shared" si="64"/>
        <v>3</v>
      </c>
      <c r="E145" t="str">
        <f t="shared" si="52"/>
        <v>35</v>
      </c>
      <c r="F145" t="str">
        <f t="shared" si="53"/>
        <v>35</v>
      </c>
      <c r="G145">
        <f t="shared" si="54"/>
        <v>9</v>
      </c>
      <c r="H145" t="s">
        <v>408</v>
      </c>
      <c r="I145" t="str">
        <f t="shared" si="60"/>
        <v/>
      </c>
      <c r="J145" t="str">
        <f t="shared" si="61"/>
        <v/>
      </c>
      <c r="K145">
        <f t="shared" si="62"/>
        <v>20</v>
      </c>
      <c r="L145" t="str">
        <f t="shared" si="46"/>
        <v>|2,WY-Wyoming [35]</v>
      </c>
      <c r="N145" t="str">
        <f t="shared" si="55"/>
        <v>WY</v>
      </c>
      <c r="O145">
        <f t="shared" si="56"/>
        <v>2</v>
      </c>
      <c r="P145" t="str">
        <f t="shared" si="47"/>
        <v>Ge/St/WY</v>
      </c>
      <c r="Q145" s="1" t="str">
        <f t="shared" si="48"/>
        <v>WY-Wyoming [35]</v>
      </c>
      <c r="R145" s="2" t="str">
        <f t="shared" si="65"/>
        <v>&lt;li&gt;&lt;input type='checkbox'class= 'ckbx' name='35'value='Ge/St/WY'&gt; _ _ _ _WY-Wyoming [35]&lt;/li&gt;</v>
      </c>
      <c r="T145" t="str">
        <f t="shared" si="68"/>
        <v>&amp;nbsp;&amp;nbsp;&amp;nbsp;&amp;nbsp;</v>
      </c>
      <c r="U145" t="str">
        <f t="shared" si="63"/>
        <v xml:space="preserve"> _ _ _ _</v>
      </c>
      <c r="V145" s="1" t="s">
        <v>134</v>
      </c>
      <c r="W145" t="str">
        <f t="shared" si="58"/>
        <v>WY-Wyoming [35]</v>
      </c>
      <c r="X145" t="str">
        <f t="shared" si="66"/>
        <v>WY</v>
      </c>
      <c r="Y145">
        <f t="shared" si="67"/>
        <v>15</v>
      </c>
      <c r="Z145">
        <f t="shared" si="59"/>
        <v>17</v>
      </c>
      <c r="AA145">
        <f t="shared" si="57"/>
        <v>2</v>
      </c>
    </row>
    <row r="146" spans="1:27" x14ac:dyDescent="0.25">
      <c r="A146">
        <f t="shared" si="49"/>
        <v>14</v>
      </c>
      <c r="B146">
        <f t="shared" si="50"/>
        <v>18</v>
      </c>
      <c r="C146" t="str">
        <f t="shared" si="51"/>
        <v>128]</v>
      </c>
      <c r="D146">
        <f t="shared" si="64"/>
        <v>4</v>
      </c>
      <c r="E146" t="str">
        <f t="shared" si="52"/>
        <v>128</v>
      </c>
      <c r="F146" t="str">
        <f t="shared" si="53"/>
        <v>128</v>
      </c>
      <c r="G146">
        <f t="shared" si="54"/>
        <v>6</v>
      </c>
      <c r="H146" t="s">
        <v>409</v>
      </c>
      <c r="I146" t="str">
        <f t="shared" si="60"/>
        <v/>
      </c>
      <c r="J146" t="str">
        <f t="shared" si="61"/>
        <v/>
      </c>
      <c r="K146">
        <f t="shared" si="62"/>
        <v>22</v>
      </c>
      <c r="L146" t="str">
        <f t="shared" si="46"/>
        <v>|1,US Capitals [128]</v>
      </c>
      <c r="N146" t="str">
        <f t="shared" si="55"/>
        <v>US</v>
      </c>
      <c r="O146">
        <f t="shared" si="56"/>
        <v>1</v>
      </c>
      <c r="P146" t="str">
        <f t="shared" si="47"/>
        <v>Ge/US</v>
      </c>
      <c r="Q146" s="1" t="str">
        <f t="shared" si="48"/>
        <v>US Capitals [128]</v>
      </c>
      <c r="R146" s="2" t="str">
        <f t="shared" si="65"/>
        <v>&lt;li&gt;&lt;input type='checkbox'class= 'ckbx' name='128'value='Ge/US'&gt; _ _ US Capitals [128]&lt;/li&gt;</v>
      </c>
      <c r="T146" t="str">
        <f t="shared" si="68"/>
        <v>&amp;nbsp;&amp;nbsp;</v>
      </c>
      <c r="U146" t="str">
        <f t="shared" si="63"/>
        <v xml:space="preserve"> _ _ </v>
      </c>
      <c r="V146" s="1" t="s">
        <v>135</v>
      </c>
      <c r="W146" t="str">
        <f t="shared" si="58"/>
        <v>US Capitals [128]</v>
      </c>
      <c r="X146" t="str">
        <f t="shared" si="66"/>
        <v>US</v>
      </c>
      <c r="Y146">
        <f t="shared" si="67"/>
        <v>17</v>
      </c>
      <c r="Z146">
        <f t="shared" si="59"/>
        <v>18</v>
      </c>
      <c r="AA146">
        <f t="shared" si="57"/>
        <v>1</v>
      </c>
    </row>
    <row r="147" spans="1:27" x14ac:dyDescent="0.25">
      <c r="A147">
        <f t="shared" si="49"/>
        <v>12</v>
      </c>
      <c r="B147">
        <f t="shared" si="50"/>
        <v>15</v>
      </c>
      <c r="C147" t="str">
        <f t="shared" si="51"/>
        <v>34]</v>
      </c>
      <c r="D147">
        <f t="shared" si="64"/>
        <v>3</v>
      </c>
      <c r="E147" t="str">
        <f t="shared" si="52"/>
        <v>34</v>
      </c>
      <c r="F147" t="str">
        <f t="shared" si="53"/>
        <v>34</v>
      </c>
      <c r="G147">
        <f t="shared" si="54"/>
        <v>6</v>
      </c>
      <c r="H147" t="s">
        <v>410</v>
      </c>
      <c r="I147" t="str">
        <f t="shared" si="60"/>
        <v/>
      </c>
      <c r="J147" t="str">
        <f t="shared" si="61"/>
        <v/>
      </c>
      <c r="K147">
        <f t="shared" si="62"/>
        <v>22</v>
      </c>
      <c r="L147" t="str">
        <f t="shared" si="46"/>
        <v>|1,Waterways [34]</v>
      </c>
      <c r="N147" t="str">
        <f t="shared" si="55"/>
        <v>Wa</v>
      </c>
      <c r="O147">
        <f t="shared" si="56"/>
        <v>1</v>
      </c>
      <c r="P147" t="str">
        <f t="shared" si="47"/>
        <v>Ge/Wa</v>
      </c>
      <c r="Q147" s="1" t="str">
        <f t="shared" si="48"/>
        <v>Waterways [34]</v>
      </c>
      <c r="R147" s="2" t="str">
        <f t="shared" si="65"/>
        <v>&lt;li&gt;&lt;input type='checkbox'class= 'ckbx' name='34'value='Ge/Wa'&gt; _ _ Waterways [34]&lt;/li&gt;</v>
      </c>
      <c r="T147" t="str">
        <f t="shared" si="68"/>
        <v>&amp;nbsp;&amp;nbsp;</v>
      </c>
      <c r="U147" t="str">
        <f t="shared" si="63"/>
        <v xml:space="preserve"> _ _ </v>
      </c>
      <c r="V147" s="1" t="s">
        <v>136</v>
      </c>
      <c r="W147" t="str">
        <f t="shared" si="58"/>
        <v>Waterways [34]</v>
      </c>
      <c r="X147" t="str">
        <f t="shared" si="66"/>
        <v>Wa</v>
      </c>
      <c r="Y147">
        <f t="shared" si="67"/>
        <v>14</v>
      </c>
      <c r="Z147">
        <f t="shared" si="59"/>
        <v>15</v>
      </c>
      <c r="AA147">
        <f t="shared" si="57"/>
        <v>1</v>
      </c>
    </row>
    <row r="148" spans="1:27" x14ac:dyDescent="0.25">
      <c r="A148">
        <f t="shared" si="49"/>
        <v>17</v>
      </c>
      <c r="B148">
        <f t="shared" si="50"/>
        <v>19</v>
      </c>
      <c r="C148" t="str">
        <f t="shared" si="51"/>
        <v>1]</v>
      </c>
      <c r="D148">
        <f t="shared" si="64"/>
        <v>2</v>
      </c>
      <c r="E148" t="str">
        <f t="shared" si="52"/>
        <v>1</v>
      </c>
      <c r="F148" t="str">
        <f t="shared" si="53"/>
        <v>1</v>
      </c>
      <c r="G148">
        <f t="shared" si="54"/>
        <v>6</v>
      </c>
      <c r="H148" t="s">
        <v>411</v>
      </c>
      <c r="I148" t="str">
        <f t="shared" si="60"/>
        <v/>
      </c>
      <c r="J148" t="str">
        <f t="shared" si="61"/>
        <v/>
      </c>
      <c r="K148">
        <f t="shared" si="62"/>
        <v>22</v>
      </c>
      <c r="L148" t="str">
        <f t="shared" si="46"/>
        <v>|1,World Capitals [1]</v>
      </c>
      <c r="N148" t="str">
        <f t="shared" si="55"/>
        <v>Wo</v>
      </c>
      <c r="O148">
        <f t="shared" si="56"/>
        <v>1</v>
      </c>
      <c r="P148" t="str">
        <f t="shared" si="47"/>
        <v>Ge/Wo</v>
      </c>
      <c r="Q148" s="1" t="str">
        <f t="shared" si="48"/>
        <v>World Capitals [1]</v>
      </c>
      <c r="R148" s="2" t="str">
        <f t="shared" si="65"/>
        <v>&lt;li&gt;&lt;input type='checkbox'class= 'ckbx' name='1'value='Ge/Wo'&gt; _ _ World Capitals [1]&lt;/li&gt;</v>
      </c>
      <c r="T148" t="str">
        <f t="shared" si="68"/>
        <v>&amp;nbsp;&amp;nbsp;</v>
      </c>
      <c r="U148" t="str">
        <f t="shared" si="63"/>
        <v xml:space="preserve"> _ _ </v>
      </c>
      <c r="V148" s="1" t="s">
        <v>137</v>
      </c>
      <c r="W148" t="str">
        <f t="shared" si="58"/>
        <v>World Capitals [1]</v>
      </c>
      <c r="X148" t="str">
        <f t="shared" si="66"/>
        <v>Wo</v>
      </c>
      <c r="Y148">
        <f t="shared" si="67"/>
        <v>18</v>
      </c>
      <c r="Z148">
        <f t="shared" si="59"/>
        <v>19</v>
      </c>
      <c r="AA148">
        <f t="shared" si="57"/>
        <v>1</v>
      </c>
    </row>
    <row r="149" spans="1:27" x14ac:dyDescent="0.25">
      <c r="A149">
        <f t="shared" si="49"/>
        <v>20</v>
      </c>
      <c r="B149">
        <f t="shared" si="50"/>
        <v>22</v>
      </c>
      <c r="C149" t="str">
        <f t="shared" si="51"/>
        <v>8]</v>
      </c>
      <c r="D149">
        <f t="shared" si="64"/>
        <v>2</v>
      </c>
      <c r="E149" t="str">
        <f t="shared" si="52"/>
        <v>8</v>
      </c>
      <c r="F149" t="str">
        <f t="shared" si="53"/>
        <v>8</v>
      </c>
      <c r="G149">
        <f t="shared" si="54"/>
        <v>3</v>
      </c>
      <c r="H149" t="s">
        <v>281</v>
      </c>
      <c r="I149" t="str">
        <f t="shared" si="60"/>
        <v>&lt;b&gt;</v>
      </c>
      <c r="J149" t="str">
        <f t="shared" si="61"/>
        <v>&lt;/b&gt;</v>
      </c>
      <c r="K149">
        <f t="shared" si="62"/>
        <v>24</v>
      </c>
      <c r="L149" t="str">
        <f t="shared" si="46"/>
        <v>|0,Health And Fitness [8]</v>
      </c>
      <c r="N149" t="str">
        <f t="shared" si="55"/>
        <v>He</v>
      </c>
      <c r="O149">
        <f t="shared" si="56"/>
        <v>0</v>
      </c>
      <c r="P149" t="str">
        <f t="shared" si="47"/>
        <v>He</v>
      </c>
      <c r="Q149" s="1" t="str">
        <f t="shared" si="48"/>
        <v>Health And Fitness [8]</v>
      </c>
      <c r="R149" s="2" t="str">
        <f t="shared" si="65"/>
        <v>&lt;li&gt;&lt;input type='checkbox'class= 'ckbx' name='8'value='He'&gt;&lt;b&gt;Health And Fitness [8]&lt;/b&gt;&lt;/li&gt;</v>
      </c>
      <c r="T149" t="str">
        <f t="shared" si="68"/>
        <v/>
      </c>
      <c r="U149" t="str">
        <f t="shared" si="63"/>
        <v/>
      </c>
      <c r="V149" s="1" t="s">
        <v>138</v>
      </c>
      <c r="W149" t="str">
        <f t="shared" si="58"/>
        <v>Health And Fitness [8]</v>
      </c>
      <c r="X149" t="str">
        <f t="shared" si="66"/>
        <v>He</v>
      </c>
      <c r="Y149">
        <f t="shared" si="67"/>
        <v>22</v>
      </c>
      <c r="Z149">
        <f t="shared" si="59"/>
        <v>22</v>
      </c>
      <c r="AA149">
        <f t="shared" si="57"/>
        <v>0</v>
      </c>
    </row>
    <row r="150" spans="1:27" x14ac:dyDescent="0.25">
      <c r="A150">
        <f t="shared" si="49"/>
        <v>9</v>
      </c>
      <c r="B150">
        <f t="shared" si="50"/>
        <v>12</v>
      </c>
      <c r="C150" t="str">
        <f t="shared" si="51"/>
        <v>10]</v>
      </c>
      <c r="D150">
        <f t="shared" si="64"/>
        <v>3</v>
      </c>
      <c r="E150" t="str">
        <f t="shared" si="52"/>
        <v>10</v>
      </c>
      <c r="F150" t="str">
        <f t="shared" si="53"/>
        <v>10</v>
      </c>
      <c r="G150">
        <f t="shared" si="54"/>
        <v>3</v>
      </c>
      <c r="H150" t="s">
        <v>282</v>
      </c>
      <c r="I150" t="str">
        <f t="shared" si="60"/>
        <v>&lt;b&gt;</v>
      </c>
      <c r="J150" t="str">
        <f t="shared" si="61"/>
        <v>&lt;/b&gt;</v>
      </c>
      <c r="K150">
        <f t="shared" si="62"/>
        <v>24</v>
      </c>
      <c r="L150" t="str">
        <f t="shared" si="46"/>
        <v>|0,History [10]</v>
      </c>
      <c r="N150" t="str">
        <f t="shared" si="55"/>
        <v>Hi</v>
      </c>
      <c r="O150">
        <f t="shared" si="56"/>
        <v>0</v>
      </c>
      <c r="P150" t="str">
        <f t="shared" si="47"/>
        <v>Hi</v>
      </c>
      <c r="Q150" s="1" t="str">
        <f t="shared" si="48"/>
        <v>History [10]</v>
      </c>
      <c r="R150" s="2" t="str">
        <f t="shared" si="65"/>
        <v>&lt;li&gt;&lt;input type='checkbox'class= 'ckbx' name='10'value='Hi'&gt;&lt;b&gt;History [10]&lt;/b&gt;&lt;/li&gt;</v>
      </c>
      <c r="T150" t="str">
        <f t="shared" si="68"/>
        <v/>
      </c>
      <c r="U150" t="str">
        <f t="shared" si="63"/>
        <v/>
      </c>
      <c r="V150" s="1" t="s">
        <v>139</v>
      </c>
      <c r="W150" t="str">
        <f t="shared" si="58"/>
        <v>History [10]</v>
      </c>
      <c r="X150" t="str">
        <f t="shared" si="66"/>
        <v>Hi</v>
      </c>
      <c r="Y150">
        <f t="shared" si="67"/>
        <v>12</v>
      </c>
      <c r="Z150">
        <f t="shared" si="59"/>
        <v>12</v>
      </c>
      <c r="AA150">
        <f t="shared" si="57"/>
        <v>0</v>
      </c>
    </row>
    <row r="151" spans="1:27" x14ac:dyDescent="0.25">
      <c r="A151">
        <f t="shared" si="49"/>
        <v>35</v>
      </c>
      <c r="B151">
        <f t="shared" si="50"/>
        <v>38</v>
      </c>
      <c r="C151" t="str">
        <f t="shared" si="51"/>
        <v>11]</v>
      </c>
      <c r="D151">
        <f t="shared" si="64"/>
        <v>3</v>
      </c>
      <c r="E151" t="str">
        <f t="shared" si="52"/>
        <v>11</v>
      </c>
      <c r="F151" t="str">
        <f t="shared" si="53"/>
        <v>11</v>
      </c>
      <c r="G151">
        <f t="shared" si="54"/>
        <v>6</v>
      </c>
      <c r="H151" t="s">
        <v>412</v>
      </c>
      <c r="I151" t="str">
        <f t="shared" si="60"/>
        <v/>
      </c>
      <c r="J151" t="str">
        <f t="shared" si="61"/>
        <v/>
      </c>
      <c r="K151">
        <f t="shared" si="62"/>
        <v>22</v>
      </c>
      <c r="L151" t="str">
        <f t="shared" si="46"/>
        <v>|1,Awards Achievements &amp; Milestones [11]</v>
      </c>
      <c r="N151" t="str">
        <f t="shared" si="55"/>
        <v>Aw</v>
      </c>
      <c r="O151">
        <f t="shared" si="56"/>
        <v>1</v>
      </c>
      <c r="P151" t="str">
        <f t="shared" si="47"/>
        <v>Hi/Aw</v>
      </c>
      <c r="Q151" s="1" t="str">
        <f t="shared" si="48"/>
        <v>Awards Achievements &amp; Milestones [11]</v>
      </c>
      <c r="R151" s="2" t="str">
        <f t="shared" si="65"/>
        <v>&lt;li&gt;&lt;input type='checkbox'class= 'ckbx' name='11'value='Hi/Aw'&gt; _ _ Awards Achievements &amp; Milestones [11]&lt;/li&gt;</v>
      </c>
      <c r="T151" t="str">
        <f t="shared" si="68"/>
        <v>&amp;nbsp;&amp;nbsp;</v>
      </c>
      <c r="U151" t="str">
        <f t="shared" si="63"/>
        <v xml:space="preserve"> _ _ </v>
      </c>
      <c r="V151" s="1" t="s">
        <v>140</v>
      </c>
      <c r="W151" t="str">
        <f t="shared" si="58"/>
        <v>Awards Achievements &amp; Milestones [11]</v>
      </c>
      <c r="X151" t="str">
        <f t="shared" si="66"/>
        <v>Aw</v>
      </c>
      <c r="Y151">
        <f t="shared" si="67"/>
        <v>37</v>
      </c>
      <c r="Z151">
        <f t="shared" si="59"/>
        <v>38</v>
      </c>
      <c r="AA151">
        <f t="shared" si="57"/>
        <v>1</v>
      </c>
    </row>
    <row r="152" spans="1:27" x14ac:dyDescent="0.25">
      <c r="A152">
        <f t="shared" si="49"/>
        <v>15</v>
      </c>
      <c r="B152">
        <f t="shared" si="50"/>
        <v>18</v>
      </c>
      <c r="C152" t="str">
        <f t="shared" si="51"/>
        <v>23]</v>
      </c>
      <c r="D152">
        <f t="shared" si="64"/>
        <v>3</v>
      </c>
      <c r="E152" t="str">
        <f t="shared" si="52"/>
        <v>23</v>
      </c>
      <c r="F152" t="str">
        <f t="shared" si="53"/>
        <v>23</v>
      </c>
      <c r="G152">
        <f t="shared" si="54"/>
        <v>6</v>
      </c>
      <c r="H152" t="s">
        <v>413</v>
      </c>
      <c r="I152" t="str">
        <f t="shared" si="60"/>
        <v/>
      </c>
      <c r="J152" t="str">
        <f t="shared" si="61"/>
        <v/>
      </c>
      <c r="K152">
        <f t="shared" si="62"/>
        <v>22</v>
      </c>
      <c r="L152" t="str">
        <f t="shared" ref="L152:L215" si="69">"|"&amp;O152&amp;","&amp;W152</f>
        <v>|1,Dark_History [23]</v>
      </c>
      <c r="N152" t="str">
        <f t="shared" si="55"/>
        <v>Da</v>
      </c>
      <c r="O152">
        <f t="shared" si="56"/>
        <v>1</v>
      </c>
      <c r="P152" t="str">
        <f t="shared" ref="P152:P215" si="70">MID(H152,1,G152-1)</f>
        <v>Hi/Da</v>
      </c>
      <c r="Q152" s="1" t="str">
        <f t="shared" ref="Q152:Q215" si="71">W152</f>
        <v>Dark_History [23]</v>
      </c>
      <c r="R152" s="2" t="str">
        <f t="shared" si="65"/>
        <v>&lt;li&gt;&lt;input type='checkbox'class= 'ckbx' name='23'value='Hi/Da'&gt; _ _ Dark_History [23]&lt;/li&gt;</v>
      </c>
      <c r="T152" t="str">
        <f t="shared" si="68"/>
        <v>&amp;nbsp;&amp;nbsp;</v>
      </c>
      <c r="U152" t="str">
        <f t="shared" si="63"/>
        <v xml:space="preserve"> _ _ </v>
      </c>
      <c r="V152" s="1" t="s">
        <v>141</v>
      </c>
      <c r="W152" t="str">
        <f t="shared" si="58"/>
        <v>Dark_History [23]</v>
      </c>
      <c r="X152" t="str">
        <f t="shared" si="66"/>
        <v>Da</v>
      </c>
      <c r="Y152">
        <f t="shared" si="67"/>
        <v>17</v>
      </c>
      <c r="Z152">
        <f t="shared" si="59"/>
        <v>18</v>
      </c>
      <c r="AA152">
        <f t="shared" si="57"/>
        <v>1</v>
      </c>
    </row>
    <row r="153" spans="1:27" x14ac:dyDescent="0.25">
      <c r="A153">
        <f t="shared" ref="A153:A216" si="72">FIND("[",V153)</f>
        <v>9</v>
      </c>
      <c r="B153">
        <f t="shared" ref="B153:B216" si="73">FIND("]",V153)</f>
        <v>12</v>
      </c>
      <c r="C153" t="str">
        <f t="shared" ref="C153:C216" si="74">MID(V153,A153+1,9)</f>
        <v>58]</v>
      </c>
      <c r="D153">
        <f t="shared" si="64"/>
        <v>3</v>
      </c>
      <c r="E153" t="str">
        <f t="shared" ref="E153:E216" si="75">MID(C153,1,D153-1)</f>
        <v>58</v>
      </c>
      <c r="F153" t="str">
        <f t="shared" ref="F153:F216" si="76">IF(ISERROR(D153),0,E153)</f>
        <v>58</v>
      </c>
      <c r="G153">
        <f t="shared" ref="G153:G216" si="77">FIND(",",H153)</f>
        <v>6</v>
      </c>
      <c r="H153" t="s">
        <v>414</v>
      </c>
      <c r="I153" t="str">
        <f t="shared" si="60"/>
        <v/>
      </c>
      <c r="J153" t="str">
        <f t="shared" si="61"/>
        <v/>
      </c>
      <c r="K153">
        <f t="shared" si="62"/>
        <v>22</v>
      </c>
      <c r="L153" t="str">
        <f t="shared" si="69"/>
        <v>|1,Deaths [58]</v>
      </c>
      <c r="N153" t="str">
        <f t="shared" ref="N153:N216" si="78">MID(W153,1,2)</f>
        <v>De</v>
      </c>
      <c r="O153">
        <f t="shared" ref="O153:O216" si="79">Z153-Y153</f>
        <v>1</v>
      </c>
      <c r="P153" t="str">
        <f t="shared" si="70"/>
        <v>Hi/De</v>
      </c>
      <c r="Q153" s="1" t="str">
        <f t="shared" si="71"/>
        <v>Deaths [58]</v>
      </c>
      <c r="R153" s="2" t="str">
        <f t="shared" si="65"/>
        <v>&lt;li&gt;&lt;input type='checkbox'class= 'ckbx' name='58'value='Hi/De'&gt; _ _ Deaths [58]&lt;/li&gt;</v>
      </c>
      <c r="T153" t="str">
        <f t="shared" si="68"/>
        <v>&amp;nbsp;&amp;nbsp;</v>
      </c>
      <c r="U153" t="str">
        <f t="shared" si="63"/>
        <v xml:space="preserve"> _ _ </v>
      </c>
      <c r="V153" s="1" t="s">
        <v>142</v>
      </c>
      <c r="W153" t="str">
        <f t="shared" si="58"/>
        <v>Deaths [58]</v>
      </c>
      <c r="X153" t="str">
        <f t="shared" si="66"/>
        <v>De</v>
      </c>
      <c r="Y153">
        <f t="shared" si="67"/>
        <v>11</v>
      </c>
      <c r="Z153">
        <f t="shared" si="59"/>
        <v>12</v>
      </c>
      <c r="AA153">
        <f t="shared" si="57"/>
        <v>1</v>
      </c>
    </row>
    <row r="154" spans="1:27" x14ac:dyDescent="0.25">
      <c r="A154">
        <f t="shared" si="72"/>
        <v>15</v>
      </c>
      <c r="B154">
        <f t="shared" si="73"/>
        <v>17</v>
      </c>
      <c r="C154" t="str">
        <f t="shared" si="74"/>
        <v>3]</v>
      </c>
      <c r="D154">
        <f t="shared" si="64"/>
        <v>2</v>
      </c>
      <c r="E154" t="str">
        <f t="shared" si="75"/>
        <v>3</v>
      </c>
      <c r="F154" t="str">
        <f t="shared" si="76"/>
        <v>3</v>
      </c>
      <c r="G154">
        <f t="shared" si="77"/>
        <v>9</v>
      </c>
      <c r="H154" t="s">
        <v>415</v>
      </c>
      <c r="I154" t="str">
        <f t="shared" si="60"/>
        <v/>
      </c>
      <c r="J154" t="str">
        <f t="shared" si="61"/>
        <v/>
      </c>
      <c r="K154">
        <f t="shared" si="62"/>
        <v>20</v>
      </c>
      <c r="L154" t="str">
        <f t="shared" si="69"/>
        <v>|2,Excecutions [3]</v>
      </c>
      <c r="N154" t="str">
        <f t="shared" si="78"/>
        <v>Ex</v>
      </c>
      <c r="O154">
        <f t="shared" si="79"/>
        <v>2</v>
      </c>
      <c r="P154" t="str">
        <f t="shared" si="70"/>
        <v>Hi/De/Ex</v>
      </c>
      <c r="Q154" s="1" t="str">
        <f t="shared" si="71"/>
        <v>Excecutions [3]</v>
      </c>
      <c r="R154" s="2" t="str">
        <f t="shared" si="65"/>
        <v>&lt;li&gt;&lt;input type='checkbox'class= 'ckbx' name='3'value='Hi/De/Ex'&gt; _ _ _ _Excecutions [3]&lt;/li&gt;</v>
      </c>
      <c r="T154" t="str">
        <f t="shared" si="68"/>
        <v>&amp;nbsp;&amp;nbsp;&amp;nbsp;&amp;nbsp;</v>
      </c>
      <c r="U154" t="str">
        <f t="shared" si="63"/>
        <v xml:space="preserve"> _ _ _ _</v>
      </c>
      <c r="V154" s="1" t="s">
        <v>143</v>
      </c>
      <c r="W154" t="str">
        <f t="shared" si="58"/>
        <v>Excecutions [3]</v>
      </c>
      <c r="X154" t="str">
        <f t="shared" si="66"/>
        <v>Ex</v>
      </c>
      <c r="Y154">
        <f t="shared" si="67"/>
        <v>15</v>
      </c>
      <c r="Z154">
        <f t="shared" si="59"/>
        <v>17</v>
      </c>
      <c r="AA154">
        <f t="shared" si="57"/>
        <v>2</v>
      </c>
    </row>
    <row r="155" spans="1:27" x14ac:dyDescent="0.25">
      <c r="A155">
        <f t="shared" si="72"/>
        <v>30</v>
      </c>
      <c r="B155">
        <f t="shared" si="73"/>
        <v>34</v>
      </c>
      <c r="C155" t="str">
        <f t="shared" si="74"/>
        <v>105]</v>
      </c>
      <c r="D155">
        <f t="shared" si="64"/>
        <v>4</v>
      </c>
      <c r="E155" t="str">
        <f t="shared" si="75"/>
        <v>105</v>
      </c>
      <c r="F155" t="str">
        <f t="shared" si="76"/>
        <v>105</v>
      </c>
      <c r="G155">
        <f t="shared" si="77"/>
        <v>6</v>
      </c>
      <c r="H155" t="s">
        <v>416</v>
      </c>
      <c r="I155" t="str">
        <f t="shared" si="60"/>
        <v/>
      </c>
      <c r="J155" t="str">
        <f t="shared" si="61"/>
        <v/>
      </c>
      <c r="K155">
        <f t="shared" si="62"/>
        <v>22</v>
      </c>
      <c r="L155" t="str">
        <f t="shared" si="69"/>
        <v>|1,Events That Changed History [105]</v>
      </c>
      <c r="N155" t="str">
        <f t="shared" si="78"/>
        <v>Ev</v>
      </c>
      <c r="O155">
        <f t="shared" si="79"/>
        <v>1</v>
      </c>
      <c r="P155" t="str">
        <f t="shared" si="70"/>
        <v>Hi/Ev</v>
      </c>
      <c r="Q155" s="1" t="str">
        <f t="shared" si="71"/>
        <v>Events That Changed History [105]</v>
      </c>
      <c r="R155" s="2" t="str">
        <f t="shared" si="65"/>
        <v>&lt;li&gt;&lt;input type='checkbox'class= 'ckbx' name='105'value='Hi/Ev'&gt; _ _ Events That Changed History [105]&lt;/li&gt;</v>
      </c>
      <c r="T155" t="str">
        <f t="shared" si="68"/>
        <v>&amp;nbsp;&amp;nbsp;</v>
      </c>
      <c r="U155" t="str">
        <f t="shared" si="63"/>
        <v xml:space="preserve"> _ _ </v>
      </c>
      <c r="V155" s="1" t="s">
        <v>144</v>
      </c>
      <c r="W155" t="str">
        <f t="shared" si="58"/>
        <v>Events That Changed History [105]</v>
      </c>
      <c r="X155" t="str">
        <f t="shared" si="66"/>
        <v>Ev</v>
      </c>
      <c r="Y155">
        <f t="shared" si="67"/>
        <v>33</v>
      </c>
      <c r="Z155">
        <f t="shared" si="59"/>
        <v>34</v>
      </c>
      <c r="AA155">
        <f t="shared" si="57"/>
        <v>1</v>
      </c>
    </row>
    <row r="156" spans="1:27" x14ac:dyDescent="0.25">
      <c r="A156">
        <f t="shared" si="72"/>
        <v>13</v>
      </c>
      <c r="B156">
        <f t="shared" si="73"/>
        <v>15</v>
      </c>
      <c r="C156" t="str">
        <f t="shared" si="74"/>
        <v>1]</v>
      </c>
      <c r="D156">
        <f t="shared" si="64"/>
        <v>2</v>
      </c>
      <c r="E156" t="str">
        <f t="shared" si="75"/>
        <v>1</v>
      </c>
      <c r="F156" t="str">
        <f t="shared" si="76"/>
        <v>1</v>
      </c>
      <c r="G156">
        <f t="shared" si="77"/>
        <v>9</v>
      </c>
      <c r="H156" t="s">
        <v>417</v>
      </c>
      <c r="I156" t="str">
        <f t="shared" si="60"/>
        <v/>
      </c>
      <c r="J156" t="str">
        <f t="shared" si="61"/>
        <v/>
      </c>
      <c r="K156">
        <f t="shared" si="62"/>
        <v>20</v>
      </c>
      <c r="L156" t="str">
        <f t="shared" si="69"/>
        <v>|2,Financial [1]</v>
      </c>
      <c r="N156" t="str">
        <f t="shared" si="78"/>
        <v>Fi</v>
      </c>
      <c r="O156">
        <f t="shared" si="79"/>
        <v>2</v>
      </c>
      <c r="P156" t="str">
        <f t="shared" si="70"/>
        <v>Hi/Ev/Fi</v>
      </c>
      <c r="Q156" s="1" t="str">
        <f t="shared" si="71"/>
        <v>Financial [1]</v>
      </c>
      <c r="R156" s="2" t="str">
        <f t="shared" si="65"/>
        <v>&lt;li&gt;&lt;input type='checkbox'class= 'ckbx' name='1'value='Hi/Ev/Fi'&gt; _ _ _ _Financial [1]&lt;/li&gt;</v>
      </c>
      <c r="T156" t="str">
        <f t="shared" si="68"/>
        <v>&amp;nbsp;&amp;nbsp;&amp;nbsp;&amp;nbsp;</v>
      </c>
      <c r="U156" t="str">
        <f t="shared" si="63"/>
        <v xml:space="preserve"> _ _ _ _</v>
      </c>
      <c r="V156" s="1" t="s">
        <v>145</v>
      </c>
      <c r="W156" t="str">
        <f t="shared" si="58"/>
        <v>Financial [1]</v>
      </c>
      <c r="X156" t="str">
        <f t="shared" si="66"/>
        <v>Fi</v>
      </c>
      <c r="Y156">
        <f t="shared" si="67"/>
        <v>13</v>
      </c>
      <c r="Z156">
        <f t="shared" si="59"/>
        <v>15</v>
      </c>
      <c r="AA156">
        <f t="shared" si="57"/>
        <v>2</v>
      </c>
    </row>
    <row r="157" spans="1:27" x14ac:dyDescent="0.25">
      <c r="A157">
        <f t="shared" si="72"/>
        <v>35</v>
      </c>
      <c r="B157">
        <f t="shared" si="73"/>
        <v>37</v>
      </c>
      <c r="C157" t="str">
        <f t="shared" si="74"/>
        <v>3]</v>
      </c>
      <c r="D157">
        <f t="shared" si="64"/>
        <v>2</v>
      </c>
      <c r="E157" t="str">
        <f t="shared" si="75"/>
        <v>3</v>
      </c>
      <c r="F157" t="str">
        <f t="shared" si="76"/>
        <v>3</v>
      </c>
      <c r="G157">
        <f t="shared" si="77"/>
        <v>6</v>
      </c>
      <c r="H157" t="s">
        <v>418</v>
      </c>
      <c r="I157" t="str">
        <f t="shared" si="60"/>
        <v/>
      </c>
      <c r="J157" t="str">
        <f t="shared" si="61"/>
        <v/>
      </c>
      <c r="K157">
        <f t="shared" si="62"/>
        <v>22</v>
      </c>
      <c r="L157" t="str">
        <f t="shared" si="69"/>
        <v>|1,Explorers Discovers &amp; Scientists [3]</v>
      </c>
      <c r="N157" t="str">
        <f t="shared" si="78"/>
        <v>Ex</v>
      </c>
      <c r="O157">
        <f t="shared" si="79"/>
        <v>1</v>
      </c>
      <c r="P157" t="str">
        <f t="shared" si="70"/>
        <v>Hi/Ex</v>
      </c>
      <c r="Q157" s="1" t="str">
        <f t="shared" si="71"/>
        <v>Explorers Discovers &amp; Scientists [3]</v>
      </c>
      <c r="R157" s="2" t="str">
        <f t="shared" si="65"/>
        <v>&lt;li&gt;&lt;input type='checkbox'class= 'ckbx' name='3'value='Hi/Ex'&gt; _ _ Explorers Discovers &amp; Scientists [3]&lt;/li&gt;</v>
      </c>
      <c r="T157" t="str">
        <f t="shared" si="68"/>
        <v>&amp;nbsp;&amp;nbsp;</v>
      </c>
      <c r="U157" t="str">
        <f t="shared" si="63"/>
        <v xml:space="preserve"> _ _ </v>
      </c>
      <c r="V157" s="1" t="s">
        <v>146</v>
      </c>
      <c r="W157" t="str">
        <f t="shared" si="58"/>
        <v>Explorers Discovers &amp; Scientists [3]</v>
      </c>
      <c r="X157" t="str">
        <f t="shared" si="66"/>
        <v>Ex</v>
      </c>
      <c r="Y157">
        <f t="shared" si="67"/>
        <v>36</v>
      </c>
      <c r="Z157">
        <f t="shared" si="59"/>
        <v>37</v>
      </c>
      <c r="AA157">
        <f t="shared" si="57"/>
        <v>1</v>
      </c>
    </row>
    <row r="158" spans="1:27" x14ac:dyDescent="0.25">
      <c r="A158">
        <f t="shared" si="72"/>
        <v>20</v>
      </c>
      <c r="B158">
        <f t="shared" si="73"/>
        <v>24</v>
      </c>
      <c r="C158" t="str">
        <f t="shared" si="74"/>
        <v>266]</v>
      </c>
      <c r="D158">
        <f t="shared" si="64"/>
        <v>4</v>
      </c>
      <c r="E158" t="str">
        <f t="shared" si="75"/>
        <v>266</v>
      </c>
      <c r="F158" t="str">
        <f t="shared" si="76"/>
        <v>266</v>
      </c>
      <c r="G158">
        <f t="shared" si="77"/>
        <v>6</v>
      </c>
      <c r="H158" t="s">
        <v>419</v>
      </c>
      <c r="I158" t="str">
        <f t="shared" si="60"/>
        <v/>
      </c>
      <c r="J158" t="str">
        <f t="shared" si="61"/>
        <v/>
      </c>
      <c r="K158">
        <f t="shared" si="62"/>
        <v>22</v>
      </c>
      <c r="L158" t="str">
        <f t="shared" si="69"/>
        <v>|1,Facts And Figures [266]</v>
      </c>
      <c r="N158" t="str">
        <f t="shared" si="78"/>
        <v>Fa</v>
      </c>
      <c r="O158">
        <f t="shared" si="79"/>
        <v>1</v>
      </c>
      <c r="P158" t="str">
        <f t="shared" si="70"/>
        <v>Hi/Fa</v>
      </c>
      <c r="Q158" s="1" t="str">
        <f t="shared" si="71"/>
        <v>Facts And Figures [266]</v>
      </c>
      <c r="R158" s="2" t="str">
        <f t="shared" si="65"/>
        <v>&lt;li&gt;&lt;input type='checkbox'class= 'ckbx' name='266'value='Hi/Fa'&gt; _ _ Facts And Figures [266]&lt;/li&gt;</v>
      </c>
      <c r="T158" t="str">
        <f t="shared" si="68"/>
        <v>&amp;nbsp;&amp;nbsp;</v>
      </c>
      <c r="U158" t="str">
        <f t="shared" si="63"/>
        <v xml:space="preserve"> _ _ </v>
      </c>
      <c r="V158" s="1" t="s">
        <v>147</v>
      </c>
      <c r="W158" t="str">
        <f t="shared" si="58"/>
        <v>Facts And Figures [266]</v>
      </c>
      <c r="X158" t="str">
        <f t="shared" si="66"/>
        <v>Fa</v>
      </c>
      <c r="Y158">
        <f t="shared" si="67"/>
        <v>23</v>
      </c>
      <c r="Z158">
        <f t="shared" si="59"/>
        <v>24</v>
      </c>
      <c r="AA158">
        <f t="shared" si="57"/>
        <v>1</v>
      </c>
    </row>
    <row r="159" spans="1:27" x14ac:dyDescent="0.25">
      <c r="A159">
        <f t="shared" si="72"/>
        <v>27</v>
      </c>
      <c r="B159">
        <f t="shared" si="73"/>
        <v>31</v>
      </c>
      <c r="C159" t="str">
        <f t="shared" si="74"/>
        <v>265]</v>
      </c>
      <c r="D159">
        <f t="shared" si="64"/>
        <v>4</v>
      </c>
      <c r="E159" t="str">
        <f t="shared" si="75"/>
        <v>265</v>
      </c>
      <c r="F159" t="str">
        <f t="shared" si="76"/>
        <v>265</v>
      </c>
      <c r="G159">
        <f t="shared" si="77"/>
        <v>6</v>
      </c>
      <c r="H159" t="s">
        <v>420</v>
      </c>
      <c r="I159" t="str">
        <f t="shared" si="60"/>
        <v/>
      </c>
      <c r="J159" t="str">
        <f t="shared" si="61"/>
        <v/>
      </c>
      <c r="K159">
        <f t="shared" si="62"/>
        <v>22</v>
      </c>
      <c r="L159" t="str">
        <f t="shared" si="69"/>
        <v>|1,Historic Things &amp; Places [265]</v>
      </c>
      <c r="N159" t="str">
        <f t="shared" si="78"/>
        <v>Hi</v>
      </c>
      <c r="O159">
        <f t="shared" si="79"/>
        <v>1</v>
      </c>
      <c r="P159" t="str">
        <f t="shared" si="70"/>
        <v>Hi/Hi</v>
      </c>
      <c r="Q159" s="1" t="str">
        <f t="shared" si="71"/>
        <v>Historic Things &amp; Places [265]</v>
      </c>
      <c r="R159" s="2" t="str">
        <f t="shared" si="65"/>
        <v>&lt;li&gt;&lt;input type='checkbox'class= 'ckbx' name='265'value='Hi/Hi'&gt; _ _ Historic Things &amp; Places [265]&lt;/li&gt;</v>
      </c>
      <c r="T159" t="str">
        <f t="shared" si="68"/>
        <v>&amp;nbsp;&amp;nbsp;</v>
      </c>
      <c r="U159" t="str">
        <f t="shared" si="63"/>
        <v xml:space="preserve"> _ _ </v>
      </c>
      <c r="V159" s="1" t="s">
        <v>148</v>
      </c>
      <c r="W159" t="str">
        <f t="shared" si="58"/>
        <v>Historic Things &amp; Places [265]</v>
      </c>
      <c r="X159" t="str">
        <f t="shared" si="66"/>
        <v>Hi</v>
      </c>
      <c r="Y159">
        <f t="shared" si="67"/>
        <v>30</v>
      </c>
      <c r="Z159">
        <f t="shared" si="59"/>
        <v>31</v>
      </c>
      <c r="AA159">
        <f t="shared" si="57"/>
        <v>1</v>
      </c>
    </row>
    <row r="160" spans="1:27" x14ac:dyDescent="0.25">
      <c r="A160">
        <f t="shared" si="72"/>
        <v>21</v>
      </c>
      <c r="B160">
        <f t="shared" si="73"/>
        <v>25</v>
      </c>
      <c r="C160" t="str">
        <f t="shared" si="74"/>
        <v>442]</v>
      </c>
      <c r="D160">
        <f t="shared" si="64"/>
        <v>4</v>
      </c>
      <c r="E160" t="str">
        <f t="shared" si="75"/>
        <v>442</v>
      </c>
      <c r="F160" t="str">
        <f t="shared" si="76"/>
        <v>442</v>
      </c>
      <c r="G160">
        <f t="shared" si="77"/>
        <v>6</v>
      </c>
      <c r="H160" t="s">
        <v>421</v>
      </c>
      <c r="I160" t="str">
        <f t="shared" si="60"/>
        <v/>
      </c>
      <c r="J160" t="str">
        <f t="shared" si="61"/>
        <v/>
      </c>
      <c r="K160">
        <f t="shared" si="62"/>
        <v>22</v>
      </c>
      <c r="L160" t="str">
        <f t="shared" si="69"/>
        <v>|1,Influential People [442]</v>
      </c>
      <c r="N160" t="str">
        <f t="shared" si="78"/>
        <v>In</v>
      </c>
      <c r="O160">
        <f t="shared" si="79"/>
        <v>1</v>
      </c>
      <c r="P160" t="str">
        <f t="shared" si="70"/>
        <v>Hi/In</v>
      </c>
      <c r="Q160" s="1" t="str">
        <f t="shared" si="71"/>
        <v>Influential People [442]</v>
      </c>
      <c r="R160" s="2" t="str">
        <f t="shared" si="65"/>
        <v>&lt;li&gt;&lt;input type='checkbox'class= 'ckbx' name='442'value='Hi/In'&gt; _ _ Influential People [442]&lt;/li&gt;</v>
      </c>
      <c r="T160" t="str">
        <f t="shared" si="68"/>
        <v>&amp;nbsp;&amp;nbsp;</v>
      </c>
      <c r="U160" t="str">
        <f t="shared" si="63"/>
        <v xml:space="preserve"> _ _ </v>
      </c>
      <c r="V160" s="1" t="s">
        <v>149</v>
      </c>
      <c r="W160" t="str">
        <f t="shared" si="58"/>
        <v>Influential People [442]</v>
      </c>
      <c r="X160" t="str">
        <f t="shared" si="66"/>
        <v>In</v>
      </c>
      <c r="Y160">
        <f t="shared" si="67"/>
        <v>24</v>
      </c>
      <c r="Z160">
        <f t="shared" si="59"/>
        <v>25</v>
      </c>
      <c r="AA160">
        <f t="shared" si="57"/>
        <v>1</v>
      </c>
    </row>
    <row r="161" spans="1:27" x14ac:dyDescent="0.25">
      <c r="A161">
        <f t="shared" si="72"/>
        <v>26</v>
      </c>
      <c r="B161">
        <f t="shared" si="73"/>
        <v>29</v>
      </c>
      <c r="C161" t="str">
        <f t="shared" si="74"/>
        <v>15]</v>
      </c>
      <c r="D161">
        <f t="shared" si="64"/>
        <v>3</v>
      </c>
      <c r="E161" t="str">
        <f t="shared" si="75"/>
        <v>15</v>
      </c>
      <c r="F161" t="str">
        <f t="shared" si="76"/>
        <v>15</v>
      </c>
      <c r="G161">
        <f t="shared" si="77"/>
        <v>6</v>
      </c>
      <c r="H161" t="s">
        <v>422</v>
      </c>
      <c r="I161" t="str">
        <f t="shared" si="60"/>
        <v/>
      </c>
      <c r="J161" t="str">
        <f t="shared" si="61"/>
        <v/>
      </c>
      <c r="K161">
        <f t="shared" si="62"/>
        <v>22</v>
      </c>
      <c r="L161" t="str">
        <f t="shared" si="69"/>
        <v>|1,Major Events In History [15]</v>
      </c>
      <c r="N161" t="str">
        <f t="shared" si="78"/>
        <v>Ma</v>
      </c>
      <c r="O161">
        <f t="shared" si="79"/>
        <v>1</v>
      </c>
      <c r="P161" t="str">
        <f t="shared" si="70"/>
        <v>Hi/Ma</v>
      </c>
      <c r="Q161" s="1" t="str">
        <f t="shared" si="71"/>
        <v>Major Events In History [15]</v>
      </c>
      <c r="R161" s="2" t="str">
        <f t="shared" si="65"/>
        <v>&lt;li&gt;&lt;input type='checkbox'class= 'ckbx' name='15'value='Hi/Ma'&gt; _ _ Major Events In History [15]&lt;/li&gt;</v>
      </c>
      <c r="T161" t="str">
        <f t="shared" si="68"/>
        <v>&amp;nbsp;&amp;nbsp;</v>
      </c>
      <c r="U161" t="str">
        <f t="shared" si="63"/>
        <v xml:space="preserve"> _ _ </v>
      </c>
      <c r="V161" s="1" t="s">
        <v>150</v>
      </c>
      <c r="W161" t="str">
        <f t="shared" si="58"/>
        <v>Major Events In History [15]</v>
      </c>
      <c r="X161" t="str">
        <f t="shared" si="66"/>
        <v>Ma</v>
      </c>
      <c r="Y161">
        <f t="shared" si="67"/>
        <v>28</v>
      </c>
      <c r="Z161">
        <f t="shared" si="59"/>
        <v>29</v>
      </c>
      <c r="AA161">
        <f t="shared" si="57"/>
        <v>1</v>
      </c>
    </row>
    <row r="162" spans="1:27" x14ac:dyDescent="0.25">
      <c r="A162">
        <f t="shared" si="72"/>
        <v>18</v>
      </c>
      <c r="B162">
        <f t="shared" si="73"/>
        <v>20</v>
      </c>
      <c r="C162" t="str">
        <f t="shared" si="74"/>
        <v>4]</v>
      </c>
      <c r="D162">
        <f t="shared" si="64"/>
        <v>2</v>
      </c>
      <c r="E162" t="str">
        <f t="shared" si="75"/>
        <v>4</v>
      </c>
      <c r="F162" t="str">
        <f t="shared" si="76"/>
        <v>4</v>
      </c>
      <c r="G162">
        <f t="shared" si="77"/>
        <v>9</v>
      </c>
      <c r="H162" t="s">
        <v>423</v>
      </c>
      <c r="I162" t="str">
        <f t="shared" si="60"/>
        <v/>
      </c>
      <c r="J162" t="str">
        <f t="shared" si="61"/>
        <v/>
      </c>
      <c r="K162">
        <f t="shared" si="62"/>
        <v>20</v>
      </c>
      <c r="L162" t="str">
        <f t="shared" si="69"/>
        <v>|2,Assassinations [4]</v>
      </c>
      <c r="N162" t="str">
        <f t="shared" si="78"/>
        <v>As</v>
      </c>
      <c r="O162">
        <f t="shared" si="79"/>
        <v>2</v>
      </c>
      <c r="P162" t="str">
        <f t="shared" si="70"/>
        <v>Hi/Ma/As</v>
      </c>
      <c r="Q162" s="1" t="str">
        <f t="shared" si="71"/>
        <v>Assassinations [4]</v>
      </c>
      <c r="R162" s="2" t="str">
        <f t="shared" si="65"/>
        <v>&lt;li&gt;&lt;input type='checkbox'class= 'ckbx' name='4'value='Hi/Ma/As'&gt; _ _ _ _Assassinations [4]&lt;/li&gt;</v>
      </c>
      <c r="T162" t="str">
        <f t="shared" si="68"/>
        <v>&amp;nbsp;&amp;nbsp;&amp;nbsp;&amp;nbsp;</v>
      </c>
      <c r="U162" t="str">
        <f t="shared" si="63"/>
        <v xml:space="preserve"> _ _ _ _</v>
      </c>
      <c r="V162" s="1" t="s">
        <v>151</v>
      </c>
      <c r="W162" t="str">
        <f t="shared" si="58"/>
        <v>Assassinations [4]</v>
      </c>
      <c r="X162" t="str">
        <f t="shared" si="66"/>
        <v>As</v>
      </c>
      <c r="Y162">
        <f t="shared" si="67"/>
        <v>18</v>
      </c>
      <c r="Z162">
        <f t="shared" si="59"/>
        <v>20</v>
      </c>
      <c r="AA162">
        <f t="shared" ref="AA162:AA225" si="80">Z162-Y162</f>
        <v>2</v>
      </c>
    </row>
    <row r="163" spans="1:27" x14ac:dyDescent="0.25">
      <c r="A163">
        <f t="shared" si="72"/>
        <v>11</v>
      </c>
      <c r="B163">
        <f t="shared" si="73"/>
        <v>15</v>
      </c>
      <c r="C163" t="str">
        <f t="shared" si="74"/>
        <v>322]</v>
      </c>
      <c r="D163">
        <f t="shared" si="64"/>
        <v>4</v>
      </c>
      <c r="E163" t="str">
        <f t="shared" si="75"/>
        <v>322</v>
      </c>
      <c r="F163" t="str">
        <f t="shared" si="76"/>
        <v>322</v>
      </c>
      <c r="G163">
        <f t="shared" si="77"/>
        <v>9</v>
      </c>
      <c r="H163" t="s">
        <v>424</v>
      </c>
      <c r="I163" t="str">
        <f t="shared" si="60"/>
        <v/>
      </c>
      <c r="J163" t="str">
        <f t="shared" si="61"/>
        <v/>
      </c>
      <c r="K163">
        <f t="shared" si="62"/>
        <v>20</v>
      </c>
      <c r="L163" t="str">
        <f t="shared" si="69"/>
        <v>|2,Battles [322]</v>
      </c>
      <c r="N163" t="str">
        <f t="shared" si="78"/>
        <v>Ba</v>
      </c>
      <c r="O163">
        <f t="shared" si="79"/>
        <v>2</v>
      </c>
      <c r="P163" t="str">
        <f t="shared" si="70"/>
        <v>Hi/Ma/Ba</v>
      </c>
      <c r="Q163" s="1" t="str">
        <f t="shared" si="71"/>
        <v>Battles [322]</v>
      </c>
      <c r="R163" s="2" t="str">
        <f t="shared" si="65"/>
        <v>&lt;li&gt;&lt;input type='checkbox'class= 'ckbx' name='322'value='Hi/Ma/Ba'&gt; _ _ _ _Battles [322]&lt;/li&gt;</v>
      </c>
      <c r="T163" t="str">
        <f t="shared" si="68"/>
        <v>&amp;nbsp;&amp;nbsp;&amp;nbsp;&amp;nbsp;</v>
      </c>
      <c r="U163" t="str">
        <f t="shared" si="63"/>
        <v xml:space="preserve"> _ _ _ _</v>
      </c>
      <c r="V163" s="1" t="s">
        <v>152</v>
      </c>
      <c r="W163" t="str">
        <f t="shared" si="58"/>
        <v>Battles [322]</v>
      </c>
      <c r="X163" t="str">
        <f t="shared" si="66"/>
        <v>Ba</v>
      </c>
      <c r="Y163">
        <f t="shared" si="67"/>
        <v>13</v>
      </c>
      <c r="Z163">
        <f t="shared" si="59"/>
        <v>15</v>
      </c>
      <c r="AA163">
        <f t="shared" si="80"/>
        <v>2</v>
      </c>
    </row>
    <row r="164" spans="1:27" x14ac:dyDescent="0.25">
      <c r="A164">
        <f t="shared" si="72"/>
        <v>13</v>
      </c>
      <c r="B164">
        <f t="shared" si="73"/>
        <v>16</v>
      </c>
      <c r="C164" t="str">
        <f t="shared" si="74"/>
        <v>10]</v>
      </c>
      <c r="D164">
        <f t="shared" si="64"/>
        <v>3</v>
      </c>
      <c r="E164" t="str">
        <f t="shared" si="75"/>
        <v>10</v>
      </c>
      <c r="F164" t="str">
        <f t="shared" si="76"/>
        <v>10</v>
      </c>
      <c r="G164">
        <f t="shared" si="77"/>
        <v>9</v>
      </c>
      <c r="H164" t="s">
        <v>425</v>
      </c>
      <c r="I164" t="str">
        <f t="shared" si="60"/>
        <v/>
      </c>
      <c r="J164" t="str">
        <f t="shared" si="61"/>
        <v/>
      </c>
      <c r="K164">
        <f t="shared" si="62"/>
        <v>20</v>
      </c>
      <c r="L164" t="str">
        <f t="shared" si="69"/>
        <v>|2,Discovery [10]</v>
      </c>
      <c r="N164" t="str">
        <f t="shared" si="78"/>
        <v>Di</v>
      </c>
      <c r="O164">
        <f t="shared" si="79"/>
        <v>2</v>
      </c>
      <c r="P164" t="str">
        <f t="shared" si="70"/>
        <v>Hi/Ma/Di</v>
      </c>
      <c r="Q164" s="1" t="str">
        <f t="shared" si="71"/>
        <v>Discovery [10]</v>
      </c>
      <c r="R164" s="2" t="str">
        <f t="shared" si="65"/>
        <v>&lt;li&gt;&lt;input type='checkbox'class= 'ckbx' name='10'value='Hi/Ma/Di'&gt; _ _ _ _Discovery [10]&lt;/li&gt;</v>
      </c>
      <c r="T164" t="str">
        <f t="shared" si="68"/>
        <v>&amp;nbsp;&amp;nbsp;&amp;nbsp;&amp;nbsp;</v>
      </c>
      <c r="U164" t="str">
        <f t="shared" si="63"/>
        <v xml:space="preserve"> _ _ _ _</v>
      </c>
      <c r="V164" s="1" t="s">
        <v>153</v>
      </c>
      <c r="W164" t="str">
        <f t="shared" si="58"/>
        <v>Discovery [10]</v>
      </c>
      <c r="X164" t="str">
        <f t="shared" si="66"/>
        <v>Di</v>
      </c>
      <c r="Y164">
        <f t="shared" si="67"/>
        <v>14</v>
      </c>
      <c r="Z164">
        <f t="shared" si="59"/>
        <v>16</v>
      </c>
      <c r="AA164">
        <f t="shared" si="80"/>
        <v>2</v>
      </c>
    </row>
    <row r="165" spans="1:27" x14ac:dyDescent="0.25">
      <c r="A165">
        <f t="shared" si="72"/>
        <v>10</v>
      </c>
      <c r="B165">
        <f t="shared" si="73"/>
        <v>13</v>
      </c>
      <c r="C165" t="str">
        <f t="shared" si="74"/>
        <v>13]</v>
      </c>
      <c r="D165">
        <f t="shared" si="64"/>
        <v>3</v>
      </c>
      <c r="E165" t="str">
        <f t="shared" si="75"/>
        <v>13</v>
      </c>
      <c r="F165" t="str">
        <f t="shared" si="76"/>
        <v>13</v>
      </c>
      <c r="G165">
        <f t="shared" si="77"/>
        <v>9</v>
      </c>
      <c r="H165" t="s">
        <v>426</v>
      </c>
      <c r="I165" t="str">
        <f t="shared" si="60"/>
        <v/>
      </c>
      <c r="J165" t="str">
        <f t="shared" si="61"/>
        <v/>
      </c>
      <c r="K165">
        <f t="shared" si="62"/>
        <v>20</v>
      </c>
      <c r="L165" t="str">
        <f t="shared" si="69"/>
        <v>|2,Firsts [13]</v>
      </c>
      <c r="N165" t="str">
        <f t="shared" si="78"/>
        <v>Fi</v>
      </c>
      <c r="O165">
        <f t="shared" si="79"/>
        <v>2</v>
      </c>
      <c r="P165" t="str">
        <f t="shared" si="70"/>
        <v>Hi/Ma/Fi</v>
      </c>
      <c r="Q165" s="1" t="str">
        <f t="shared" si="71"/>
        <v>Firsts [13]</v>
      </c>
      <c r="R165" s="2" t="str">
        <f t="shared" si="65"/>
        <v>&lt;li&gt;&lt;input type='checkbox'class= 'ckbx' name='13'value='Hi/Ma/Fi'&gt; _ _ _ _Firsts [13]&lt;/li&gt;</v>
      </c>
      <c r="T165" t="str">
        <f t="shared" si="68"/>
        <v>&amp;nbsp;&amp;nbsp;&amp;nbsp;&amp;nbsp;</v>
      </c>
      <c r="U165" t="str">
        <f t="shared" si="63"/>
        <v xml:space="preserve"> _ _ _ _</v>
      </c>
      <c r="V165" s="1" t="s">
        <v>154</v>
      </c>
      <c r="W165" t="str">
        <f t="shared" si="58"/>
        <v>Firsts [13]</v>
      </c>
      <c r="X165" t="str">
        <f t="shared" si="66"/>
        <v>Fi</v>
      </c>
      <c r="Y165">
        <f t="shared" si="67"/>
        <v>11</v>
      </c>
      <c r="Z165">
        <f t="shared" si="59"/>
        <v>13</v>
      </c>
      <c r="AA165">
        <f t="shared" si="80"/>
        <v>2</v>
      </c>
    </row>
    <row r="166" spans="1:27" x14ac:dyDescent="0.25">
      <c r="A166">
        <f t="shared" si="72"/>
        <v>9</v>
      </c>
      <c r="B166">
        <f t="shared" si="73"/>
        <v>11</v>
      </c>
      <c r="C166" t="str">
        <f t="shared" si="74"/>
        <v>6]</v>
      </c>
      <c r="D166">
        <f t="shared" si="64"/>
        <v>2</v>
      </c>
      <c r="E166" t="str">
        <f t="shared" si="75"/>
        <v>6</v>
      </c>
      <c r="F166" t="str">
        <f t="shared" si="76"/>
        <v>6</v>
      </c>
      <c r="G166">
        <f t="shared" si="77"/>
        <v>9</v>
      </c>
      <c r="H166" t="s">
        <v>427</v>
      </c>
      <c r="I166" t="str">
        <f t="shared" si="60"/>
        <v/>
      </c>
      <c r="J166" t="str">
        <f t="shared" si="61"/>
        <v/>
      </c>
      <c r="K166">
        <f t="shared" si="62"/>
        <v>20</v>
      </c>
      <c r="L166" t="str">
        <f t="shared" si="69"/>
        <v>|2,Riots [6]</v>
      </c>
      <c r="N166" t="str">
        <f t="shared" si="78"/>
        <v>Ri</v>
      </c>
      <c r="O166">
        <f t="shared" si="79"/>
        <v>2</v>
      </c>
      <c r="P166" t="str">
        <f t="shared" si="70"/>
        <v>Hi/Ma/Ri</v>
      </c>
      <c r="Q166" s="1" t="str">
        <f t="shared" si="71"/>
        <v>Riots [6]</v>
      </c>
      <c r="R166" s="2" t="str">
        <f t="shared" si="65"/>
        <v>&lt;li&gt;&lt;input type='checkbox'class= 'ckbx' name='6'value='Hi/Ma/Ri'&gt; _ _ _ _Riots [6]&lt;/li&gt;</v>
      </c>
      <c r="T166" t="str">
        <f t="shared" si="68"/>
        <v>&amp;nbsp;&amp;nbsp;&amp;nbsp;&amp;nbsp;</v>
      </c>
      <c r="U166" t="str">
        <f t="shared" si="63"/>
        <v xml:space="preserve"> _ _ _ _</v>
      </c>
      <c r="V166" s="1" t="s">
        <v>155</v>
      </c>
      <c r="W166" t="str">
        <f t="shared" si="58"/>
        <v>Riots [6]</v>
      </c>
      <c r="X166" t="str">
        <f t="shared" si="66"/>
        <v>Ri</v>
      </c>
      <c r="Y166">
        <f t="shared" si="67"/>
        <v>9</v>
      </c>
      <c r="Z166">
        <f t="shared" si="59"/>
        <v>11</v>
      </c>
      <c r="AA166">
        <f t="shared" si="80"/>
        <v>2</v>
      </c>
    </row>
    <row r="167" spans="1:27" x14ac:dyDescent="0.25">
      <c r="A167">
        <f t="shared" si="72"/>
        <v>8</v>
      </c>
      <c r="B167">
        <f t="shared" si="73"/>
        <v>12</v>
      </c>
      <c r="C167" t="str">
        <f t="shared" si="74"/>
        <v>190]</v>
      </c>
      <c r="D167">
        <f t="shared" si="64"/>
        <v>4</v>
      </c>
      <c r="E167" t="str">
        <f t="shared" si="75"/>
        <v>190</v>
      </c>
      <c r="F167" t="str">
        <f t="shared" si="76"/>
        <v>190</v>
      </c>
      <c r="G167">
        <f t="shared" si="77"/>
        <v>9</v>
      </c>
      <c r="H167" t="s">
        <v>428</v>
      </c>
      <c r="I167" t="str">
        <f t="shared" si="60"/>
        <v/>
      </c>
      <c r="J167" t="str">
        <f t="shared" si="61"/>
        <v/>
      </c>
      <c r="K167">
        <f t="shared" si="62"/>
        <v>20</v>
      </c>
      <c r="L167" t="str">
        <f t="shared" si="69"/>
        <v>|2,Wars [190]</v>
      </c>
      <c r="N167" t="str">
        <f t="shared" si="78"/>
        <v>Wa</v>
      </c>
      <c r="O167">
        <f t="shared" si="79"/>
        <v>2</v>
      </c>
      <c r="P167" t="str">
        <f t="shared" si="70"/>
        <v>Hi/Ma/Wa</v>
      </c>
      <c r="Q167" s="1" t="str">
        <f t="shared" si="71"/>
        <v>Wars [190]</v>
      </c>
      <c r="R167" s="2" t="str">
        <f t="shared" si="65"/>
        <v>&lt;li&gt;&lt;input type='checkbox'class= 'ckbx' name='190'value='Hi/Ma/Wa'&gt; _ _ _ _Wars [190]&lt;/li&gt;</v>
      </c>
      <c r="T167" t="str">
        <f t="shared" si="68"/>
        <v>&amp;nbsp;&amp;nbsp;&amp;nbsp;&amp;nbsp;</v>
      </c>
      <c r="U167" t="str">
        <f t="shared" si="63"/>
        <v xml:space="preserve"> _ _ _ _</v>
      </c>
      <c r="V167" s="1" t="s">
        <v>156</v>
      </c>
      <c r="W167" t="str">
        <f t="shared" si="58"/>
        <v>Wars [190]</v>
      </c>
      <c r="X167" t="str">
        <f t="shared" si="66"/>
        <v>Wa</v>
      </c>
      <c r="Y167">
        <f t="shared" si="67"/>
        <v>10</v>
      </c>
      <c r="Z167">
        <f t="shared" si="59"/>
        <v>12</v>
      </c>
      <c r="AA167">
        <f t="shared" si="80"/>
        <v>2</v>
      </c>
    </row>
    <row r="168" spans="1:27" x14ac:dyDescent="0.25">
      <c r="A168">
        <f t="shared" si="72"/>
        <v>19</v>
      </c>
      <c r="B168">
        <f t="shared" si="73"/>
        <v>21</v>
      </c>
      <c r="C168" t="str">
        <f t="shared" si="74"/>
        <v>4]</v>
      </c>
      <c r="D168">
        <f t="shared" si="64"/>
        <v>2</v>
      </c>
      <c r="E168" t="str">
        <f t="shared" si="75"/>
        <v>4</v>
      </c>
      <c r="F168" t="str">
        <f t="shared" si="76"/>
        <v>4</v>
      </c>
      <c r="G168">
        <f t="shared" si="77"/>
        <v>6</v>
      </c>
      <c r="H168" t="s">
        <v>429</v>
      </c>
      <c r="I168" t="str">
        <f t="shared" si="60"/>
        <v/>
      </c>
      <c r="J168" t="str">
        <f t="shared" si="61"/>
        <v/>
      </c>
      <c r="K168">
        <f t="shared" si="62"/>
        <v>22</v>
      </c>
      <c r="L168" t="str">
        <f t="shared" si="69"/>
        <v>|1,Military Leaders [4]</v>
      </c>
      <c r="N168" t="str">
        <f t="shared" si="78"/>
        <v>Mi</v>
      </c>
      <c r="O168">
        <f t="shared" si="79"/>
        <v>1</v>
      </c>
      <c r="P168" t="str">
        <f t="shared" si="70"/>
        <v>Hi/Mi</v>
      </c>
      <c r="Q168" s="1" t="str">
        <f t="shared" si="71"/>
        <v>Military Leaders [4]</v>
      </c>
      <c r="R168" s="2" t="str">
        <f t="shared" si="65"/>
        <v>&lt;li&gt;&lt;input type='checkbox'class= 'ckbx' name='4'value='Hi/Mi'&gt; _ _ Military Leaders [4]&lt;/li&gt;</v>
      </c>
      <c r="T168" t="str">
        <f t="shared" si="68"/>
        <v>&amp;nbsp;&amp;nbsp;</v>
      </c>
      <c r="U168" t="str">
        <f t="shared" si="63"/>
        <v xml:space="preserve"> _ _ </v>
      </c>
      <c r="V168" s="1" t="s">
        <v>157</v>
      </c>
      <c r="W168" t="str">
        <f t="shared" ref="W168:W231" si="81">TRIM(V168)</f>
        <v>Military Leaders [4]</v>
      </c>
      <c r="X168" t="str">
        <f t="shared" si="66"/>
        <v>Mi</v>
      </c>
      <c r="Y168">
        <f t="shared" si="67"/>
        <v>20</v>
      </c>
      <c r="Z168">
        <f t="shared" ref="Z168:Z231" si="82">LEN(V168)</f>
        <v>21</v>
      </c>
      <c r="AA168">
        <f t="shared" si="80"/>
        <v>1</v>
      </c>
    </row>
    <row r="169" spans="1:27" x14ac:dyDescent="0.25">
      <c r="A169">
        <f t="shared" si="72"/>
        <v>12</v>
      </c>
      <c r="B169">
        <f t="shared" si="73"/>
        <v>16</v>
      </c>
      <c r="C169" t="str">
        <f t="shared" si="74"/>
        <v>289]</v>
      </c>
      <c r="D169">
        <f t="shared" si="64"/>
        <v>4</v>
      </c>
      <c r="E169" t="str">
        <f t="shared" si="75"/>
        <v>289</v>
      </c>
      <c r="F169" t="str">
        <f t="shared" si="76"/>
        <v>289</v>
      </c>
      <c r="G169">
        <f t="shared" si="77"/>
        <v>6</v>
      </c>
      <c r="H169" t="s">
        <v>430</v>
      </c>
      <c r="I169" t="str">
        <f t="shared" si="60"/>
        <v/>
      </c>
      <c r="J169" t="str">
        <f t="shared" si="61"/>
        <v/>
      </c>
      <c r="K169">
        <f t="shared" si="62"/>
        <v>22</v>
      </c>
      <c r="L169" t="str">
        <f t="shared" si="69"/>
        <v>|1,Political [289]</v>
      </c>
      <c r="N169" t="str">
        <f t="shared" si="78"/>
        <v>Po</v>
      </c>
      <c r="O169">
        <f t="shared" si="79"/>
        <v>1</v>
      </c>
      <c r="P169" t="str">
        <f t="shared" si="70"/>
        <v>Hi/Po</v>
      </c>
      <c r="Q169" s="1" t="str">
        <f t="shared" si="71"/>
        <v>Political [289]</v>
      </c>
      <c r="R169" s="2" t="str">
        <f t="shared" si="65"/>
        <v>&lt;li&gt;&lt;input type='checkbox'class= 'ckbx' name='289'value='Hi/Po'&gt; _ _ Political [289]&lt;/li&gt;</v>
      </c>
      <c r="T169" t="str">
        <f t="shared" si="68"/>
        <v>&amp;nbsp;&amp;nbsp;</v>
      </c>
      <c r="U169" t="str">
        <f t="shared" si="63"/>
        <v xml:space="preserve"> _ _ </v>
      </c>
      <c r="V169" s="1" t="s">
        <v>158</v>
      </c>
      <c r="W169" t="str">
        <f t="shared" si="81"/>
        <v>Political [289]</v>
      </c>
      <c r="X169" t="str">
        <f t="shared" si="66"/>
        <v>Po</v>
      </c>
      <c r="Y169">
        <f t="shared" si="67"/>
        <v>15</v>
      </c>
      <c r="Z169">
        <f t="shared" si="82"/>
        <v>16</v>
      </c>
      <c r="AA169">
        <f t="shared" si="80"/>
        <v>1</v>
      </c>
    </row>
    <row r="170" spans="1:27" x14ac:dyDescent="0.25">
      <c r="A170" t="e">
        <f t="shared" si="72"/>
        <v>#VALUE!</v>
      </c>
      <c r="B170" t="e">
        <f t="shared" si="73"/>
        <v>#VALUE!</v>
      </c>
      <c r="C170" t="e">
        <f t="shared" si="74"/>
        <v>#VALUE!</v>
      </c>
      <c r="D170" t="e">
        <f t="shared" si="64"/>
        <v>#VALUE!</v>
      </c>
      <c r="E170" t="e">
        <f t="shared" si="75"/>
        <v>#VALUE!</v>
      </c>
      <c r="F170">
        <f t="shared" si="76"/>
        <v>0</v>
      </c>
      <c r="G170">
        <f t="shared" si="77"/>
        <v>6</v>
      </c>
      <c r="H170" t="s">
        <v>431</v>
      </c>
      <c r="I170" t="str">
        <f t="shared" si="60"/>
        <v/>
      </c>
      <c r="J170" t="str">
        <f t="shared" si="61"/>
        <v/>
      </c>
      <c r="K170">
        <f t="shared" si="62"/>
        <v>22</v>
      </c>
      <c r="L170" t="str">
        <f t="shared" si="69"/>
        <v>|1,Recent</v>
      </c>
      <c r="N170" t="str">
        <f t="shared" si="78"/>
        <v>Re</v>
      </c>
      <c r="O170">
        <f t="shared" si="79"/>
        <v>1</v>
      </c>
      <c r="P170" t="str">
        <f t="shared" si="70"/>
        <v>Hi/Re</v>
      </c>
      <c r="Q170" s="1" t="str">
        <f t="shared" si="71"/>
        <v>Recent</v>
      </c>
      <c r="R170" s="2" t="str">
        <f t="shared" si="65"/>
        <v>&lt;li&gt;&lt;input type='checkbox'class= 'ckbx' name='0'value='Hi/Re'&gt; _ _ Recent&lt;/li&gt;</v>
      </c>
      <c r="T170" t="str">
        <f t="shared" si="68"/>
        <v>&amp;nbsp;&amp;nbsp;</v>
      </c>
      <c r="U170" t="str">
        <f t="shared" si="63"/>
        <v xml:space="preserve"> _ _ </v>
      </c>
      <c r="V170" s="1" t="s">
        <v>159</v>
      </c>
      <c r="W170" t="str">
        <f t="shared" si="81"/>
        <v>Recent</v>
      </c>
      <c r="X170" t="str">
        <f t="shared" si="66"/>
        <v>Re</v>
      </c>
      <c r="Y170">
        <f t="shared" si="67"/>
        <v>6</v>
      </c>
      <c r="Z170">
        <f t="shared" si="82"/>
        <v>7</v>
      </c>
      <c r="AA170">
        <f t="shared" si="80"/>
        <v>1</v>
      </c>
    </row>
    <row r="171" spans="1:27" x14ac:dyDescent="0.25">
      <c r="A171">
        <f t="shared" si="72"/>
        <v>8</v>
      </c>
      <c r="B171">
        <f t="shared" si="73"/>
        <v>10</v>
      </c>
      <c r="C171" t="str">
        <f t="shared" si="74"/>
        <v>8]</v>
      </c>
      <c r="D171">
        <f t="shared" si="64"/>
        <v>2</v>
      </c>
      <c r="E171" t="str">
        <f t="shared" si="75"/>
        <v>8</v>
      </c>
      <c r="F171" t="str">
        <f t="shared" si="76"/>
        <v>8</v>
      </c>
      <c r="G171">
        <f t="shared" si="77"/>
        <v>9</v>
      </c>
      <c r="H171" t="s">
        <v>432</v>
      </c>
      <c r="I171" t="str">
        <f t="shared" si="60"/>
        <v/>
      </c>
      <c r="J171" t="str">
        <f t="shared" si="61"/>
        <v/>
      </c>
      <c r="K171">
        <f t="shared" si="62"/>
        <v>20</v>
      </c>
      <c r="L171" t="str">
        <f t="shared" si="69"/>
        <v>|2,2000 [8]</v>
      </c>
      <c r="N171" t="str">
        <f t="shared" si="78"/>
        <v>20</v>
      </c>
      <c r="O171">
        <f t="shared" si="79"/>
        <v>2</v>
      </c>
      <c r="P171" t="str">
        <f t="shared" si="70"/>
        <v>Hi/Re/20</v>
      </c>
      <c r="Q171" s="1" t="str">
        <f t="shared" si="71"/>
        <v>2000 [8]</v>
      </c>
      <c r="R171" s="2" t="str">
        <f t="shared" si="65"/>
        <v>&lt;li&gt;&lt;input type='checkbox'class= 'ckbx' name='8'value='Hi/Re/20'&gt; _ _ _ _2000 [8]&lt;/li&gt;</v>
      </c>
      <c r="T171" t="str">
        <f t="shared" si="68"/>
        <v>&amp;nbsp;&amp;nbsp;&amp;nbsp;&amp;nbsp;</v>
      </c>
      <c r="U171" t="str">
        <f t="shared" si="63"/>
        <v xml:space="preserve"> _ _ _ _</v>
      </c>
      <c r="V171" s="1" t="s">
        <v>160</v>
      </c>
      <c r="W171" t="str">
        <f t="shared" si="81"/>
        <v>2000 [8]</v>
      </c>
      <c r="X171" t="str">
        <f t="shared" si="66"/>
        <v>20</v>
      </c>
      <c r="Y171">
        <f t="shared" si="67"/>
        <v>8</v>
      </c>
      <c r="Z171">
        <f t="shared" si="82"/>
        <v>10</v>
      </c>
      <c r="AA171">
        <f t="shared" si="80"/>
        <v>2</v>
      </c>
    </row>
    <row r="172" spans="1:27" x14ac:dyDescent="0.25">
      <c r="A172">
        <f t="shared" si="72"/>
        <v>8</v>
      </c>
      <c r="B172">
        <f t="shared" si="73"/>
        <v>10</v>
      </c>
      <c r="C172" t="str">
        <f t="shared" si="74"/>
        <v>8]</v>
      </c>
      <c r="D172">
        <f t="shared" si="64"/>
        <v>2</v>
      </c>
      <c r="E172" t="str">
        <f t="shared" si="75"/>
        <v>8</v>
      </c>
      <c r="F172" t="str">
        <f t="shared" si="76"/>
        <v>8</v>
      </c>
      <c r="G172">
        <f t="shared" si="77"/>
        <v>9</v>
      </c>
      <c r="H172" t="s">
        <v>433</v>
      </c>
      <c r="I172" t="str">
        <f t="shared" si="60"/>
        <v/>
      </c>
      <c r="J172" t="str">
        <f t="shared" si="61"/>
        <v/>
      </c>
      <c r="K172">
        <f t="shared" si="62"/>
        <v>20</v>
      </c>
      <c r="L172" t="str">
        <f t="shared" si="69"/>
        <v>|2,50's [8]</v>
      </c>
      <c r="N172" t="str">
        <f t="shared" si="78"/>
        <v>50</v>
      </c>
      <c r="O172">
        <f t="shared" si="79"/>
        <v>2</v>
      </c>
      <c r="P172" t="str">
        <f t="shared" si="70"/>
        <v>Hi/Re/50</v>
      </c>
      <c r="Q172" s="1" t="str">
        <f t="shared" si="71"/>
        <v>50's [8]</v>
      </c>
      <c r="R172" s="2" t="str">
        <f t="shared" si="65"/>
        <v>&lt;li&gt;&lt;input type='checkbox'class= 'ckbx' name='8'value='Hi/Re/50'&gt; _ _ _ _50's [8]&lt;/li&gt;</v>
      </c>
      <c r="T172" t="str">
        <f t="shared" si="68"/>
        <v>&amp;nbsp;&amp;nbsp;&amp;nbsp;&amp;nbsp;</v>
      </c>
      <c r="U172" t="str">
        <f t="shared" si="63"/>
        <v xml:space="preserve"> _ _ _ _</v>
      </c>
      <c r="V172" s="1" t="s">
        <v>161</v>
      </c>
      <c r="W172" t="str">
        <f t="shared" si="81"/>
        <v>50's [8]</v>
      </c>
      <c r="X172" t="str">
        <f t="shared" si="66"/>
        <v>50</v>
      </c>
      <c r="Y172">
        <f t="shared" si="67"/>
        <v>8</v>
      </c>
      <c r="Z172">
        <f t="shared" si="82"/>
        <v>10</v>
      </c>
      <c r="AA172">
        <f t="shared" si="80"/>
        <v>2</v>
      </c>
    </row>
    <row r="173" spans="1:27" x14ac:dyDescent="0.25">
      <c r="A173">
        <f t="shared" si="72"/>
        <v>8</v>
      </c>
      <c r="B173">
        <f t="shared" si="73"/>
        <v>10</v>
      </c>
      <c r="C173" t="str">
        <f t="shared" si="74"/>
        <v>8]</v>
      </c>
      <c r="D173">
        <f t="shared" si="64"/>
        <v>2</v>
      </c>
      <c r="E173" t="str">
        <f t="shared" si="75"/>
        <v>8</v>
      </c>
      <c r="F173" t="str">
        <f t="shared" si="76"/>
        <v>8</v>
      </c>
      <c r="G173">
        <f t="shared" si="77"/>
        <v>9</v>
      </c>
      <c r="H173" t="s">
        <v>434</v>
      </c>
      <c r="I173" t="str">
        <f t="shared" si="60"/>
        <v/>
      </c>
      <c r="J173" t="str">
        <f t="shared" si="61"/>
        <v/>
      </c>
      <c r="K173">
        <f t="shared" si="62"/>
        <v>20</v>
      </c>
      <c r="L173" t="str">
        <f t="shared" si="69"/>
        <v>|2,60's [8]</v>
      </c>
      <c r="N173" t="str">
        <f t="shared" si="78"/>
        <v>60</v>
      </c>
      <c r="O173">
        <f t="shared" si="79"/>
        <v>2</v>
      </c>
      <c r="P173" t="str">
        <f t="shared" si="70"/>
        <v>Hi/Re/60</v>
      </c>
      <c r="Q173" s="1" t="str">
        <f t="shared" si="71"/>
        <v>60's [8]</v>
      </c>
      <c r="R173" s="2" t="str">
        <f t="shared" si="65"/>
        <v>&lt;li&gt;&lt;input type='checkbox'class= 'ckbx' name='8'value='Hi/Re/60'&gt; _ _ _ _60's [8]&lt;/li&gt;</v>
      </c>
      <c r="T173" t="str">
        <f t="shared" si="68"/>
        <v>&amp;nbsp;&amp;nbsp;&amp;nbsp;&amp;nbsp;</v>
      </c>
      <c r="U173" t="str">
        <f t="shared" si="63"/>
        <v xml:space="preserve"> _ _ _ _</v>
      </c>
      <c r="V173" s="1" t="s">
        <v>162</v>
      </c>
      <c r="W173" t="str">
        <f t="shared" si="81"/>
        <v>60's [8]</v>
      </c>
      <c r="X173" t="str">
        <f t="shared" si="66"/>
        <v>60</v>
      </c>
      <c r="Y173">
        <f t="shared" si="67"/>
        <v>8</v>
      </c>
      <c r="Z173">
        <f t="shared" si="82"/>
        <v>10</v>
      </c>
      <c r="AA173">
        <f t="shared" si="80"/>
        <v>2</v>
      </c>
    </row>
    <row r="174" spans="1:27" x14ac:dyDescent="0.25">
      <c r="A174">
        <f t="shared" si="72"/>
        <v>8</v>
      </c>
      <c r="B174">
        <f t="shared" si="73"/>
        <v>10</v>
      </c>
      <c r="C174" t="str">
        <f t="shared" si="74"/>
        <v>8]</v>
      </c>
      <c r="D174">
        <f t="shared" si="64"/>
        <v>2</v>
      </c>
      <c r="E174" t="str">
        <f t="shared" si="75"/>
        <v>8</v>
      </c>
      <c r="F174" t="str">
        <f t="shared" si="76"/>
        <v>8</v>
      </c>
      <c r="G174">
        <f t="shared" si="77"/>
        <v>9</v>
      </c>
      <c r="H174" t="s">
        <v>435</v>
      </c>
      <c r="I174" t="str">
        <f t="shared" si="60"/>
        <v/>
      </c>
      <c r="J174" t="str">
        <f t="shared" si="61"/>
        <v/>
      </c>
      <c r="K174">
        <f t="shared" si="62"/>
        <v>20</v>
      </c>
      <c r="L174" t="str">
        <f t="shared" si="69"/>
        <v>|2,70's [8]</v>
      </c>
      <c r="N174" t="str">
        <f t="shared" si="78"/>
        <v>70</v>
      </c>
      <c r="O174">
        <f t="shared" si="79"/>
        <v>2</v>
      </c>
      <c r="P174" t="str">
        <f t="shared" si="70"/>
        <v>Hi/Re/70</v>
      </c>
      <c r="Q174" s="1" t="str">
        <f t="shared" si="71"/>
        <v>70's [8]</v>
      </c>
      <c r="R174" s="2" t="str">
        <f t="shared" si="65"/>
        <v>&lt;li&gt;&lt;input type='checkbox'class= 'ckbx' name='8'value='Hi/Re/70'&gt; _ _ _ _70's [8]&lt;/li&gt;</v>
      </c>
      <c r="T174" t="str">
        <f t="shared" si="68"/>
        <v>&amp;nbsp;&amp;nbsp;&amp;nbsp;&amp;nbsp;</v>
      </c>
      <c r="U174" t="str">
        <f t="shared" si="63"/>
        <v xml:space="preserve"> _ _ _ _</v>
      </c>
      <c r="V174" s="1" t="s">
        <v>163</v>
      </c>
      <c r="W174" t="str">
        <f t="shared" si="81"/>
        <v>70's [8]</v>
      </c>
      <c r="X174" t="str">
        <f t="shared" si="66"/>
        <v>70</v>
      </c>
      <c r="Y174">
        <f t="shared" si="67"/>
        <v>8</v>
      </c>
      <c r="Z174">
        <f t="shared" si="82"/>
        <v>10</v>
      </c>
      <c r="AA174">
        <f t="shared" si="80"/>
        <v>2</v>
      </c>
    </row>
    <row r="175" spans="1:27" x14ac:dyDescent="0.25">
      <c r="A175">
        <f t="shared" si="72"/>
        <v>8</v>
      </c>
      <c r="B175">
        <f t="shared" si="73"/>
        <v>10</v>
      </c>
      <c r="C175" t="str">
        <f t="shared" si="74"/>
        <v>8]</v>
      </c>
      <c r="D175">
        <f t="shared" si="64"/>
        <v>2</v>
      </c>
      <c r="E175" t="str">
        <f t="shared" si="75"/>
        <v>8</v>
      </c>
      <c r="F175" t="str">
        <f t="shared" si="76"/>
        <v>8</v>
      </c>
      <c r="G175">
        <f t="shared" si="77"/>
        <v>9</v>
      </c>
      <c r="H175" t="s">
        <v>436</v>
      </c>
      <c r="I175" t="str">
        <f t="shared" si="60"/>
        <v/>
      </c>
      <c r="J175" t="str">
        <f t="shared" si="61"/>
        <v/>
      </c>
      <c r="K175">
        <f t="shared" si="62"/>
        <v>20</v>
      </c>
      <c r="L175" t="str">
        <f t="shared" si="69"/>
        <v>|2,80's [8]</v>
      </c>
      <c r="N175" t="str">
        <f t="shared" si="78"/>
        <v>80</v>
      </c>
      <c r="O175">
        <f t="shared" si="79"/>
        <v>2</v>
      </c>
      <c r="P175" t="str">
        <f t="shared" si="70"/>
        <v>Hi/Re/80</v>
      </c>
      <c r="Q175" s="1" t="str">
        <f t="shared" si="71"/>
        <v>80's [8]</v>
      </c>
      <c r="R175" s="2" t="str">
        <f t="shared" si="65"/>
        <v>&lt;li&gt;&lt;input type='checkbox'class= 'ckbx' name='8'value='Hi/Re/80'&gt; _ _ _ _80's [8]&lt;/li&gt;</v>
      </c>
      <c r="T175" t="str">
        <f t="shared" si="68"/>
        <v>&amp;nbsp;&amp;nbsp;&amp;nbsp;&amp;nbsp;</v>
      </c>
      <c r="U175" t="str">
        <f t="shared" si="63"/>
        <v xml:space="preserve"> _ _ _ _</v>
      </c>
      <c r="V175" s="1" t="s">
        <v>164</v>
      </c>
      <c r="W175" t="str">
        <f t="shared" si="81"/>
        <v>80's [8]</v>
      </c>
      <c r="X175" t="str">
        <f t="shared" si="66"/>
        <v>80</v>
      </c>
      <c r="Y175">
        <f t="shared" si="67"/>
        <v>8</v>
      </c>
      <c r="Z175">
        <f t="shared" si="82"/>
        <v>10</v>
      </c>
      <c r="AA175">
        <f t="shared" si="80"/>
        <v>2</v>
      </c>
    </row>
    <row r="176" spans="1:27" x14ac:dyDescent="0.25">
      <c r="A176">
        <f t="shared" si="72"/>
        <v>8</v>
      </c>
      <c r="B176">
        <f t="shared" si="73"/>
        <v>10</v>
      </c>
      <c r="C176" t="str">
        <f t="shared" si="74"/>
        <v>8]</v>
      </c>
      <c r="D176">
        <f t="shared" si="64"/>
        <v>2</v>
      </c>
      <c r="E176" t="str">
        <f t="shared" si="75"/>
        <v>8</v>
      </c>
      <c r="F176" t="str">
        <f t="shared" si="76"/>
        <v>8</v>
      </c>
      <c r="G176">
        <f t="shared" si="77"/>
        <v>9</v>
      </c>
      <c r="H176" t="s">
        <v>437</v>
      </c>
      <c r="I176" t="str">
        <f t="shared" si="60"/>
        <v/>
      </c>
      <c r="J176" t="str">
        <f t="shared" si="61"/>
        <v/>
      </c>
      <c r="K176">
        <f t="shared" si="62"/>
        <v>20</v>
      </c>
      <c r="L176" t="str">
        <f t="shared" si="69"/>
        <v>|2,90's [8]</v>
      </c>
      <c r="N176" t="str">
        <f t="shared" si="78"/>
        <v>90</v>
      </c>
      <c r="O176">
        <f t="shared" si="79"/>
        <v>2</v>
      </c>
      <c r="P176" t="str">
        <f t="shared" si="70"/>
        <v>Hi/Re/90</v>
      </c>
      <c r="Q176" s="1" t="str">
        <f t="shared" si="71"/>
        <v>90's [8]</v>
      </c>
      <c r="R176" s="2" t="str">
        <f t="shared" si="65"/>
        <v>&lt;li&gt;&lt;input type='checkbox'class= 'ckbx' name='8'value='Hi/Re/90'&gt; _ _ _ _90's [8]&lt;/li&gt;</v>
      </c>
      <c r="T176" t="str">
        <f t="shared" si="68"/>
        <v>&amp;nbsp;&amp;nbsp;&amp;nbsp;&amp;nbsp;</v>
      </c>
      <c r="U176" t="str">
        <f t="shared" si="63"/>
        <v xml:space="preserve"> _ _ _ _</v>
      </c>
      <c r="V176" s="1" t="s">
        <v>165</v>
      </c>
      <c r="W176" t="str">
        <f t="shared" si="81"/>
        <v>90's [8]</v>
      </c>
      <c r="X176" t="str">
        <f t="shared" si="66"/>
        <v>90</v>
      </c>
      <c r="Y176">
        <f t="shared" si="67"/>
        <v>8</v>
      </c>
      <c r="Z176">
        <f t="shared" si="82"/>
        <v>10</v>
      </c>
      <c r="AA176">
        <f t="shared" si="80"/>
        <v>2</v>
      </c>
    </row>
    <row r="177" spans="1:27" x14ac:dyDescent="0.25">
      <c r="A177">
        <f t="shared" si="72"/>
        <v>11</v>
      </c>
      <c r="B177">
        <f t="shared" si="73"/>
        <v>13</v>
      </c>
      <c r="C177" t="str">
        <f t="shared" si="74"/>
        <v>2]</v>
      </c>
      <c r="D177">
        <f t="shared" si="64"/>
        <v>2</v>
      </c>
      <c r="E177" t="str">
        <f t="shared" si="75"/>
        <v>2</v>
      </c>
      <c r="F177" t="str">
        <f t="shared" si="76"/>
        <v>2</v>
      </c>
      <c r="G177">
        <f t="shared" si="77"/>
        <v>6</v>
      </c>
      <c r="H177" t="s">
        <v>438</v>
      </c>
      <c r="I177" t="str">
        <f t="shared" si="60"/>
        <v/>
      </c>
      <c r="J177" t="str">
        <f t="shared" si="61"/>
        <v/>
      </c>
      <c r="K177">
        <f t="shared" si="62"/>
        <v>22</v>
      </c>
      <c r="L177" t="str">
        <f t="shared" si="69"/>
        <v>|1,Scandals [2]</v>
      </c>
      <c r="N177" t="str">
        <f t="shared" si="78"/>
        <v>Sc</v>
      </c>
      <c r="O177">
        <f t="shared" si="79"/>
        <v>1</v>
      </c>
      <c r="P177" t="str">
        <f t="shared" si="70"/>
        <v>Hi/Sc</v>
      </c>
      <c r="Q177" s="1" t="str">
        <f t="shared" si="71"/>
        <v>Scandals [2]</v>
      </c>
      <c r="R177" s="2" t="str">
        <f t="shared" si="65"/>
        <v>&lt;li&gt;&lt;input type='checkbox'class= 'ckbx' name='2'value='Hi/Sc'&gt; _ _ Scandals [2]&lt;/li&gt;</v>
      </c>
      <c r="T177" t="str">
        <f t="shared" si="68"/>
        <v>&amp;nbsp;&amp;nbsp;</v>
      </c>
      <c r="U177" t="str">
        <f t="shared" si="63"/>
        <v xml:space="preserve"> _ _ </v>
      </c>
      <c r="V177" s="1" t="s">
        <v>166</v>
      </c>
      <c r="W177" t="str">
        <f t="shared" si="81"/>
        <v>Scandals [2]</v>
      </c>
      <c r="X177" t="str">
        <f t="shared" si="66"/>
        <v>Sc</v>
      </c>
      <c r="Y177">
        <f t="shared" si="67"/>
        <v>12</v>
      </c>
      <c r="Z177">
        <f t="shared" si="82"/>
        <v>13</v>
      </c>
      <c r="AA177">
        <f t="shared" si="80"/>
        <v>1</v>
      </c>
    </row>
    <row r="178" spans="1:27" x14ac:dyDescent="0.25">
      <c r="A178">
        <f t="shared" si="72"/>
        <v>11</v>
      </c>
      <c r="B178">
        <f t="shared" si="73"/>
        <v>13</v>
      </c>
      <c r="C178" t="str">
        <f t="shared" si="74"/>
        <v>5]</v>
      </c>
      <c r="D178">
        <f t="shared" si="64"/>
        <v>2</v>
      </c>
      <c r="E178" t="str">
        <f t="shared" si="75"/>
        <v>5</v>
      </c>
      <c r="F178" t="str">
        <f t="shared" si="76"/>
        <v>5</v>
      </c>
      <c r="G178">
        <f t="shared" si="77"/>
        <v>6</v>
      </c>
      <c r="H178" t="s">
        <v>439</v>
      </c>
      <c r="I178" t="str">
        <f t="shared" si="60"/>
        <v/>
      </c>
      <c r="J178" t="str">
        <f t="shared" si="61"/>
        <v/>
      </c>
      <c r="K178">
        <f t="shared" si="62"/>
        <v>22</v>
      </c>
      <c r="L178" t="str">
        <f t="shared" si="69"/>
        <v>|1,Speaches [5]</v>
      </c>
      <c r="N178" t="str">
        <f t="shared" si="78"/>
        <v>Sp</v>
      </c>
      <c r="O178">
        <f t="shared" si="79"/>
        <v>1</v>
      </c>
      <c r="P178" t="str">
        <f t="shared" si="70"/>
        <v>Hi/Sp</v>
      </c>
      <c r="Q178" s="1" t="str">
        <f t="shared" si="71"/>
        <v>Speaches [5]</v>
      </c>
      <c r="R178" s="2" t="str">
        <f t="shared" si="65"/>
        <v>&lt;li&gt;&lt;input type='checkbox'class= 'ckbx' name='5'value='Hi/Sp'&gt; _ _ Speaches [5]&lt;/li&gt;</v>
      </c>
      <c r="T178" t="str">
        <f t="shared" si="68"/>
        <v>&amp;nbsp;&amp;nbsp;</v>
      </c>
      <c r="U178" t="str">
        <f t="shared" si="63"/>
        <v xml:space="preserve"> _ _ </v>
      </c>
      <c r="V178" s="1" t="s">
        <v>167</v>
      </c>
      <c r="W178" t="str">
        <f t="shared" si="81"/>
        <v>Speaches [5]</v>
      </c>
      <c r="X178" t="str">
        <f t="shared" si="66"/>
        <v>Sp</v>
      </c>
      <c r="Y178">
        <f t="shared" si="67"/>
        <v>12</v>
      </c>
      <c r="Z178">
        <f t="shared" si="82"/>
        <v>13</v>
      </c>
      <c r="AA178">
        <f t="shared" si="80"/>
        <v>1</v>
      </c>
    </row>
    <row r="179" spans="1:27" x14ac:dyDescent="0.25">
      <c r="A179">
        <f t="shared" si="72"/>
        <v>11</v>
      </c>
      <c r="B179">
        <f t="shared" si="73"/>
        <v>13</v>
      </c>
      <c r="C179" t="str">
        <f t="shared" si="74"/>
        <v>2]</v>
      </c>
      <c r="D179">
        <f t="shared" si="64"/>
        <v>2</v>
      </c>
      <c r="E179" t="str">
        <f t="shared" si="75"/>
        <v>2</v>
      </c>
      <c r="F179" t="str">
        <f t="shared" si="76"/>
        <v>2</v>
      </c>
      <c r="G179">
        <f t="shared" si="77"/>
        <v>9</v>
      </c>
      <c r="H179" t="s">
        <v>440</v>
      </c>
      <c r="I179" t="str">
        <f t="shared" si="60"/>
        <v/>
      </c>
      <c r="J179" t="str">
        <f t="shared" si="61"/>
        <v/>
      </c>
      <c r="K179">
        <f t="shared" si="62"/>
        <v>20</v>
      </c>
      <c r="L179" t="str">
        <f t="shared" si="69"/>
        <v>|2,Debates [2]</v>
      </c>
      <c r="N179" t="str">
        <f t="shared" si="78"/>
        <v>De</v>
      </c>
      <c r="O179">
        <f t="shared" si="79"/>
        <v>2</v>
      </c>
      <c r="P179" t="str">
        <f t="shared" si="70"/>
        <v>Hi/Sp/De</v>
      </c>
      <c r="Q179" s="1" t="str">
        <f t="shared" si="71"/>
        <v>Debates [2]</v>
      </c>
      <c r="R179" s="2" t="str">
        <f t="shared" si="65"/>
        <v>&lt;li&gt;&lt;input type='checkbox'class= 'ckbx' name='2'value='Hi/Sp/De'&gt; _ _ _ _Debates [2]&lt;/li&gt;</v>
      </c>
      <c r="T179" t="str">
        <f t="shared" si="68"/>
        <v>&amp;nbsp;&amp;nbsp;&amp;nbsp;&amp;nbsp;</v>
      </c>
      <c r="U179" t="str">
        <f t="shared" si="63"/>
        <v xml:space="preserve"> _ _ _ _</v>
      </c>
      <c r="V179" s="1" t="s">
        <v>168</v>
      </c>
      <c r="W179" t="str">
        <f t="shared" si="81"/>
        <v>Debates [2]</v>
      </c>
      <c r="X179" t="str">
        <f t="shared" si="66"/>
        <v>De</v>
      </c>
      <c r="Y179">
        <f t="shared" si="67"/>
        <v>11</v>
      </c>
      <c r="Z179">
        <f t="shared" si="82"/>
        <v>13</v>
      </c>
      <c r="AA179">
        <f t="shared" si="80"/>
        <v>2</v>
      </c>
    </row>
    <row r="180" spans="1:27" x14ac:dyDescent="0.25">
      <c r="A180">
        <f t="shared" si="72"/>
        <v>9</v>
      </c>
      <c r="B180">
        <f t="shared" si="73"/>
        <v>11</v>
      </c>
      <c r="C180" t="str">
        <f t="shared" si="74"/>
        <v>7]</v>
      </c>
      <c r="D180">
        <f t="shared" si="64"/>
        <v>2</v>
      </c>
      <c r="E180" t="str">
        <f t="shared" si="75"/>
        <v>7</v>
      </c>
      <c r="F180" t="str">
        <f t="shared" si="76"/>
        <v>7</v>
      </c>
      <c r="G180">
        <f t="shared" si="77"/>
        <v>6</v>
      </c>
      <c r="H180" t="s">
        <v>441</v>
      </c>
      <c r="I180" t="str">
        <f t="shared" si="60"/>
        <v/>
      </c>
      <c r="J180" t="str">
        <f t="shared" si="61"/>
        <v/>
      </c>
      <c r="K180">
        <f t="shared" si="62"/>
        <v>22</v>
      </c>
      <c r="L180" t="str">
        <f t="shared" si="69"/>
        <v>|1,Trials [7]</v>
      </c>
      <c r="N180" t="str">
        <f t="shared" si="78"/>
        <v>Tr</v>
      </c>
      <c r="O180">
        <f t="shared" si="79"/>
        <v>1</v>
      </c>
      <c r="P180" t="str">
        <f t="shared" si="70"/>
        <v>Hi/Tr</v>
      </c>
      <c r="Q180" s="1" t="str">
        <f t="shared" si="71"/>
        <v>Trials [7]</v>
      </c>
      <c r="R180" s="2" t="str">
        <f t="shared" si="65"/>
        <v>&lt;li&gt;&lt;input type='checkbox'class= 'ckbx' name='7'value='Hi/Tr'&gt; _ _ Trials [7]&lt;/li&gt;</v>
      </c>
      <c r="T180" t="str">
        <f t="shared" si="68"/>
        <v>&amp;nbsp;&amp;nbsp;</v>
      </c>
      <c r="U180" t="str">
        <f t="shared" si="63"/>
        <v xml:space="preserve"> _ _ </v>
      </c>
      <c r="V180" s="1" t="s">
        <v>169</v>
      </c>
      <c r="W180" t="str">
        <f t="shared" si="81"/>
        <v>Trials [7]</v>
      </c>
      <c r="X180" t="str">
        <f t="shared" si="66"/>
        <v>Tr</v>
      </c>
      <c r="Y180">
        <f t="shared" si="67"/>
        <v>10</v>
      </c>
      <c r="Z180">
        <f t="shared" si="82"/>
        <v>11</v>
      </c>
      <c r="AA180">
        <f t="shared" si="80"/>
        <v>1</v>
      </c>
    </row>
    <row r="181" spans="1:27" x14ac:dyDescent="0.25">
      <c r="A181">
        <f t="shared" si="72"/>
        <v>23</v>
      </c>
      <c r="B181">
        <f t="shared" si="73"/>
        <v>27</v>
      </c>
      <c r="C181" t="str">
        <f t="shared" si="74"/>
        <v>419]</v>
      </c>
      <c r="D181">
        <f t="shared" si="64"/>
        <v>4</v>
      </c>
      <c r="E181" t="str">
        <f t="shared" si="75"/>
        <v>419</v>
      </c>
      <c r="F181" t="str">
        <f t="shared" si="76"/>
        <v>419</v>
      </c>
      <c r="G181">
        <f t="shared" si="77"/>
        <v>6</v>
      </c>
      <c r="H181" t="s">
        <v>442</v>
      </c>
      <c r="I181" t="str">
        <f t="shared" si="60"/>
        <v/>
      </c>
      <c r="J181" t="str">
        <f t="shared" si="61"/>
        <v/>
      </c>
      <c r="K181">
        <f t="shared" si="62"/>
        <v>22</v>
      </c>
      <c r="L181" t="str">
        <f t="shared" si="69"/>
        <v>|1,Wars &amp; Interventions [419]</v>
      </c>
      <c r="N181" t="str">
        <f t="shared" si="78"/>
        <v>Wa</v>
      </c>
      <c r="O181">
        <f t="shared" si="79"/>
        <v>1</v>
      </c>
      <c r="P181" t="str">
        <f t="shared" si="70"/>
        <v>Hi/Wa</v>
      </c>
      <c r="Q181" s="1" t="str">
        <f t="shared" si="71"/>
        <v>Wars &amp; Interventions [419]</v>
      </c>
      <c r="R181" s="2" t="str">
        <f t="shared" si="65"/>
        <v>&lt;li&gt;&lt;input type='checkbox'class= 'ckbx' name='419'value='Hi/Wa'&gt; _ _ Wars &amp; Interventions [419]&lt;/li&gt;</v>
      </c>
      <c r="T181" t="str">
        <f t="shared" si="68"/>
        <v>&amp;nbsp;&amp;nbsp;</v>
      </c>
      <c r="U181" t="str">
        <f t="shared" si="63"/>
        <v xml:space="preserve"> _ _ </v>
      </c>
      <c r="V181" s="1" t="s">
        <v>170</v>
      </c>
      <c r="W181" t="str">
        <f t="shared" si="81"/>
        <v>Wars &amp; Interventions [419]</v>
      </c>
      <c r="X181" t="str">
        <f t="shared" si="66"/>
        <v>Wa</v>
      </c>
      <c r="Y181">
        <f t="shared" si="67"/>
        <v>26</v>
      </c>
      <c r="Z181">
        <f t="shared" si="82"/>
        <v>27</v>
      </c>
      <c r="AA181">
        <f t="shared" si="80"/>
        <v>1</v>
      </c>
    </row>
    <row r="182" spans="1:27" x14ac:dyDescent="0.25">
      <c r="A182" t="e">
        <f t="shared" si="72"/>
        <v>#VALUE!</v>
      </c>
      <c r="B182" t="e">
        <f t="shared" si="73"/>
        <v>#VALUE!</v>
      </c>
      <c r="C182" t="e">
        <f t="shared" si="74"/>
        <v>#VALUE!</v>
      </c>
      <c r="D182" t="e">
        <f t="shared" si="64"/>
        <v>#VALUE!</v>
      </c>
      <c r="E182" t="e">
        <f t="shared" si="75"/>
        <v>#VALUE!</v>
      </c>
      <c r="F182">
        <f t="shared" si="76"/>
        <v>0</v>
      </c>
      <c r="G182">
        <f t="shared" si="77"/>
        <v>3</v>
      </c>
      <c r="H182" t="s">
        <v>283</v>
      </c>
      <c r="I182" t="str">
        <f t="shared" si="60"/>
        <v>&lt;b&gt;</v>
      </c>
      <c r="J182" t="str">
        <f t="shared" si="61"/>
        <v>&lt;/b&gt;</v>
      </c>
      <c r="K182">
        <f t="shared" si="62"/>
        <v>24</v>
      </c>
      <c r="L182" t="str">
        <f t="shared" si="69"/>
        <v>|0,Language</v>
      </c>
      <c r="N182" t="str">
        <f t="shared" si="78"/>
        <v>La</v>
      </c>
      <c r="O182">
        <f t="shared" si="79"/>
        <v>0</v>
      </c>
      <c r="P182" t="str">
        <f t="shared" si="70"/>
        <v>La</v>
      </c>
      <c r="Q182" s="1" t="str">
        <f t="shared" si="71"/>
        <v>Language</v>
      </c>
      <c r="R182" s="2" t="str">
        <f t="shared" si="65"/>
        <v>&lt;li&gt;&lt;input type='checkbox'class= 'ckbx' name='0'value='La'&gt;&lt;b&gt;Language&lt;/b&gt;&lt;/li&gt;</v>
      </c>
      <c r="T182" t="str">
        <f t="shared" si="68"/>
        <v/>
      </c>
      <c r="U182" t="str">
        <f t="shared" si="63"/>
        <v/>
      </c>
      <c r="V182" s="1" t="s">
        <v>171</v>
      </c>
      <c r="W182" t="str">
        <f t="shared" si="81"/>
        <v>Language</v>
      </c>
      <c r="X182" t="str">
        <f t="shared" si="66"/>
        <v>La</v>
      </c>
      <c r="Y182">
        <f t="shared" si="67"/>
        <v>8</v>
      </c>
      <c r="Z182">
        <f t="shared" si="82"/>
        <v>8</v>
      </c>
      <c r="AA182">
        <f t="shared" si="80"/>
        <v>0</v>
      </c>
    </row>
    <row r="183" spans="1:27" x14ac:dyDescent="0.25">
      <c r="A183">
        <f t="shared" si="72"/>
        <v>8</v>
      </c>
      <c r="B183">
        <f t="shared" si="73"/>
        <v>11</v>
      </c>
      <c r="C183" t="str">
        <f t="shared" si="74"/>
        <v>95]</v>
      </c>
      <c r="D183">
        <f t="shared" si="64"/>
        <v>3</v>
      </c>
      <c r="E183" t="str">
        <f t="shared" si="75"/>
        <v>95</v>
      </c>
      <c r="F183" t="str">
        <f t="shared" si="76"/>
        <v>95</v>
      </c>
      <c r="G183">
        <f t="shared" si="77"/>
        <v>6</v>
      </c>
      <c r="H183" t="s">
        <v>443</v>
      </c>
      <c r="I183" t="str">
        <f t="shared" si="60"/>
        <v/>
      </c>
      <c r="J183" t="str">
        <f t="shared" si="61"/>
        <v/>
      </c>
      <c r="K183">
        <f t="shared" si="62"/>
        <v>22</v>
      </c>
      <c r="L183" t="str">
        <f t="shared" si="69"/>
        <v>|1,Words [95]</v>
      </c>
      <c r="N183" t="str">
        <f t="shared" si="78"/>
        <v>Wo</v>
      </c>
      <c r="O183">
        <f t="shared" si="79"/>
        <v>1</v>
      </c>
      <c r="P183" t="str">
        <f t="shared" si="70"/>
        <v>La/Wo</v>
      </c>
      <c r="Q183" s="1" t="str">
        <f t="shared" si="71"/>
        <v>Words [95]</v>
      </c>
      <c r="R183" s="2" t="str">
        <f t="shared" si="65"/>
        <v>&lt;li&gt;&lt;input type='checkbox'class= 'ckbx' name='95'value='La/Wo'&gt; _ _ Words [95]&lt;/li&gt;</v>
      </c>
      <c r="T183" t="str">
        <f t="shared" si="68"/>
        <v>&amp;nbsp;&amp;nbsp;</v>
      </c>
      <c r="U183" t="str">
        <f t="shared" si="63"/>
        <v xml:space="preserve"> _ _ </v>
      </c>
      <c r="V183" s="1" t="s">
        <v>172</v>
      </c>
      <c r="W183" t="str">
        <f t="shared" si="81"/>
        <v>Words [95]</v>
      </c>
      <c r="X183" t="str">
        <f t="shared" si="66"/>
        <v>Wo</v>
      </c>
      <c r="Y183">
        <f t="shared" si="67"/>
        <v>10</v>
      </c>
      <c r="Z183">
        <f t="shared" si="82"/>
        <v>11</v>
      </c>
      <c r="AA183">
        <f t="shared" si="80"/>
        <v>1</v>
      </c>
    </row>
    <row r="184" spans="1:27" x14ac:dyDescent="0.25">
      <c r="A184">
        <f t="shared" si="72"/>
        <v>16</v>
      </c>
      <c r="B184">
        <f t="shared" si="73"/>
        <v>20</v>
      </c>
      <c r="C184" t="str">
        <f t="shared" si="74"/>
        <v>351]</v>
      </c>
      <c r="D184">
        <f t="shared" si="64"/>
        <v>4</v>
      </c>
      <c r="E184" t="str">
        <f t="shared" si="75"/>
        <v>351</v>
      </c>
      <c r="F184" t="str">
        <f t="shared" si="76"/>
        <v>351</v>
      </c>
      <c r="G184">
        <f t="shared" si="77"/>
        <v>3</v>
      </c>
      <c r="H184" t="s">
        <v>284</v>
      </c>
      <c r="I184" t="str">
        <f t="shared" si="60"/>
        <v>&lt;b&gt;</v>
      </c>
      <c r="J184" t="str">
        <f t="shared" si="61"/>
        <v>&lt;/b&gt;</v>
      </c>
      <c r="K184">
        <f t="shared" si="62"/>
        <v>24</v>
      </c>
      <c r="L184" t="str">
        <f t="shared" si="69"/>
        <v>|0,Life And Death [351]</v>
      </c>
      <c r="N184" t="str">
        <f t="shared" si="78"/>
        <v>Li</v>
      </c>
      <c r="O184">
        <f t="shared" si="79"/>
        <v>0</v>
      </c>
      <c r="P184" t="str">
        <f t="shared" si="70"/>
        <v>Li</v>
      </c>
      <c r="Q184" s="1" t="str">
        <f t="shared" si="71"/>
        <v>Life And Death [351]</v>
      </c>
      <c r="R184" s="2" t="str">
        <f t="shared" si="65"/>
        <v>&lt;li&gt;&lt;input type='checkbox'class= 'ckbx' name='351'value='Li'&gt;&lt;b&gt;Life And Death [351]&lt;/b&gt;&lt;/li&gt;</v>
      </c>
      <c r="T184" t="str">
        <f t="shared" si="68"/>
        <v/>
      </c>
      <c r="U184" t="str">
        <f t="shared" si="63"/>
        <v/>
      </c>
      <c r="V184" s="1" t="s">
        <v>173</v>
      </c>
      <c r="W184" t="str">
        <f t="shared" si="81"/>
        <v>Life And Death [351]</v>
      </c>
      <c r="X184" t="str">
        <f t="shared" si="66"/>
        <v>Li</v>
      </c>
      <c r="Y184">
        <f t="shared" si="67"/>
        <v>20</v>
      </c>
      <c r="Z184">
        <f t="shared" si="82"/>
        <v>20</v>
      </c>
      <c r="AA184">
        <f t="shared" si="80"/>
        <v>0</v>
      </c>
    </row>
    <row r="185" spans="1:27" x14ac:dyDescent="0.25">
      <c r="A185">
        <f t="shared" si="72"/>
        <v>10</v>
      </c>
      <c r="B185">
        <f t="shared" si="73"/>
        <v>15</v>
      </c>
      <c r="C185" t="str">
        <f t="shared" si="74"/>
        <v>1569]</v>
      </c>
      <c r="D185">
        <f t="shared" si="64"/>
        <v>5</v>
      </c>
      <c r="E185" t="str">
        <f t="shared" si="75"/>
        <v>1569</v>
      </c>
      <c r="F185" t="str">
        <f t="shared" si="76"/>
        <v>1569</v>
      </c>
      <c r="G185">
        <f t="shared" si="77"/>
        <v>3</v>
      </c>
      <c r="H185" t="s">
        <v>285</v>
      </c>
      <c r="I185" t="str">
        <f t="shared" si="60"/>
        <v>&lt;b&gt;</v>
      </c>
      <c r="J185" t="str">
        <f t="shared" si="61"/>
        <v>&lt;/b&gt;</v>
      </c>
      <c r="K185">
        <f t="shared" si="62"/>
        <v>24</v>
      </c>
      <c r="L185" t="str">
        <f t="shared" si="69"/>
        <v>|0,Military [1569]</v>
      </c>
      <c r="N185" t="str">
        <f t="shared" si="78"/>
        <v>Mi</v>
      </c>
      <c r="O185">
        <f t="shared" si="79"/>
        <v>0</v>
      </c>
      <c r="P185" t="str">
        <f t="shared" si="70"/>
        <v>Mi</v>
      </c>
      <c r="Q185" s="1" t="str">
        <f t="shared" si="71"/>
        <v>Military [1569]</v>
      </c>
      <c r="R185" s="2" t="str">
        <f t="shared" si="65"/>
        <v>&lt;li&gt;&lt;input type='checkbox'class= 'ckbx' name='1569'value='Mi'&gt;&lt;b&gt;Military [1569]&lt;/b&gt;&lt;/li&gt;</v>
      </c>
      <c r="T185" t="str">
        <f t="shared" si="68"/>
        <v/>
      </c>
      <c r="U185" t="str">
        <f t="shared" si="63"/>
        <v/>
      </c>
      <c r="V185" s="1" t="s">
        <v>174</v>
      </c>
      <c r="W185" t="str">
        <f t="shared" si="81"/>
        <v>Military [1569]</v>
      </c>
      <c r="X185" t="str">
        <f t="shared" si="66"/>
        <v>Mi</v>
      </c>
      <c r="Y185">
        <f t="shared" si="67"/>
        <v>15</v>
      </c>
      <c r="Z185">
        <f t="shared" si="82"/>
        <v>15</v>
      </c>
      <c r="AA185">
        <f t="shared" si="80"/>
        <v>0</v>
      </c>
    </row>
    <row r="186" spans="1:27" x14ac:dyDescent="0.25">
      <c r="A186">
        <f t="shared" si="72"/>
        <v>13</v>
      </c>
      <c r="B186">
        <f t="shared" si="73"/>
        <v>16</v>
      </c>
      <c r="C186" t="str">
        <f t="shared" si="74"/>
        <v>94]</v>
      </c>
      <c r="D186">
        <f t="shared" si="64"/>
        <v>3</v>
      </c>
      <c r="E186" t="str">
        <f t="shared" si="75"/>
        <v>94</v>
      </c>
      <c r="F186" t="str">
        <f t="shared" si="76"/>
        <v>94</v>
      </c>
      <c r="G186">
        <f t="shared" si="77"/>
        <v>6</v>
      </c>
      <c r="H186" t="s">
        <v>444</v>
      </c>
      <c r="I186" t="str">
        <f t="shared" si="60"/>
        <v/>
      </c>
      <c r="J186" t="str">
        <f t="shared" si="61"/>
        <v/>
      </c>
      <c r="K186">
        <f t="shared" si="62"/>
        <v>22</v>
      </c>
      <c r="L186" t="str">
        <f t="shared" si="69"/>
        <v>|1,Air Planes [94]</v>
      </c>
      <c r="N186" t="str">
        <f t="shared" si="78"/>
        <v>Ai</v>
      </c>
      <c r="O186">
        <f t="shared" si="79"/>
        <v>1</v>
      </c>
      <c r="P186" t="str">
        <f t="shared" si="70"/>
        <v>Mi/Ai</v>
      </c>
      <c r="Q186" s="1" t="str">
        <f t="shared" si="71"/>
        <v>Air Planes [94]</v>
      </c>
      <c r="R186" s="2" t="str">
        <f t="shared" si="65"/>
        <v>&lt;li&gt;&lt;input type='checkbox'class= 'ckbx' name='94'value='Mi/Ai'&gt; _ _ Air Planes [94]&lt;/li&gt;</v>
      </c>
      <c r="T186" t="str">
        <f t="shared" si="68"/>
        <v>&amp;nbsp;&amp;nbsp;</v>
      </c>
      <c r="U186" t="str">
        <f t="shared" si="63"/>
        <v xml:space="preserve"> _ _ </v>
      </c>
      <c r="V186" s="1" t="s">
        <v>175</v>
      </c>
      <c r="W186" t="str">
        <f t="shared" si="81"/>
        <v>Air Planes [94]</v>
      </c>
      <c r="X186" t="str">
        <f t="shared" si="66"/>
        <v>Ai</v>
      </c>
      <c r="Y186">
        <f t="shared" si="67"/>
        <v>15</v>
      </c>
      <c r="Z186">
        <f t="shared" si="82"/>
        <v>16</v>
      </c>
      <c r="AA186">
        <f t="shared" si="80"/>
        <v>1</v>
      </c>
    </row>
    <row r="187" spans="1:27" x14ac:dyDescent="0.25">
      <c r="A187">
        <f t="shared" si="72"/>
        <v>10</v>
      </c>
      <c r="B187">
        <f t="shared" si="73"/>
        <v>14</v>
      </c>
      <c r="C187" t="str">
        <f t="shared" si="74"/>
        <v>118]</v>
      </c>
      <c r="D187">
        <f t="shared" si="64"/>
        <v>4</v>
      </c>
      <c r="E187" t="str">
        <f t="shared" si="75"/>
        <v>118</v>
      </c>
      <c r="F187" t="str">
        <f t="shared" si="76"/>
        <v>118</v>
      </c>
      <c r="G187">
        <f t="shared" si="77"/>
        <v>6</v>
      </c>
      <c r="H187" t="s">
        <v>445</v>
      </c>
      <c r="I187" t="str">
        <f t="shared" si="60"/>
        <v/>
      </c>
      <c r="J187" t="str">
        <f t="shared" si="61"/>
        <v/>
      </c>
      <c r="K187">
        <f t="shared" si="62"/>
        <v>22</v>
      </c>
      <c r="L187" t="str">
        <f t="shared" si="69"/>
        <v>|1,Battles [118]</v>
      </c>
      <c r="N187" t="str">
        <f t="shared" si="78"/>
        <v>Ba</v>
      </c>
      <c r="O187">
        <f t="shared" si="79"/>
        <v>1</v>
      </c>
      <c r="P187" t="str">
        <f t="shared" si="70"/>
        <v>Mi/Ba</v>
      </c>
      <c r="Q187" s="1" t="str">
        <f t="shared" si="71"/>
        <v>Battles [118]</v>
      </c>
      <c r="R187" s="2" t="str">
        <f t="shared" si="65"/>
        <v>&lt;li&gt;&lt;input type='checkbox'class= 'ckbx' name='118'value='Mi/Ba'&gt; _ _ Battles [118]&lt;/li&gt;</v>
      </c>
      <c r="T187" t="str">
        <f t="shared" si="68"/>
        <v>&amp;nbsp;&amp;nbsp;</v>
      </c>
      <c r="U187" t="str">
        <f t="shared" si="63"/>
        <v xml:space="preserve"> _ _ </v>
      </c>
      <c r="V187" s="1" t="s">
        <v>176</v>
      </c>
      <c r="W187" t="str">
        <f t="shared" si="81"/>
        <v>Battles [118]</v>
      </c>
      <c r="X187" t="str">
        <f t="shared" si="66"/>
        <v>Ba</v>
      </c>
      <c r="Y187">
        <f t="shared" si="67"/>
        <v>13</v>
      </c>
      <c r="Z187">
        <f t="shared" si="82"/>
        <v>14</v>
      </c>
      <c r="AA187">
        <f t="shared" si="80"/>
        <v>1</v>
      </c>
    </row>
    <row r="188" spans="1:27" x14ac:dyDescent="0.25">
      <c r="A188">
        <f t="shared" si="72"/>
        <v>9</v>
      </c>
      <c r="B188">
        <f t="shared" si="73"/>
        <v>14</v>
      </c>
      <c r="C188" t="str">
        <f t="shared" si="74"/>
        <v>1403]</v>
      </c>
      <c r="D188">
        <f t="shared" si="64"/>
        <v>5</v>
      </c>
      <c r="E188" t="str">
        <f t="shared" si="75"/>
        <v>1403</v>
      </c>
      <c r="F188" t="str">
        <f t="shared" si="76"/>
        <v>1403</v>
      </c>
      <c r="G188">
        <f t="shared" si="77"/>
        <v>6</v>
      </c>
      <c r="H188" t="s">
        <v>446</v>
      </c>
      <c r="I188" t="str">
        <f t="shared" si="60"/>
        <v/>
      </c>
      <c r="J188" t="str">
        <f t="shared" si="61"/>
        <v/>
      </c>
      <c r="K188">
        <f t="shared" si="62"/>
        <v>22</v>
      </c>
      <c r="L188" t="str">
        <f t="shared" si="69"/>
        <v>|1,Events [1403]</v>
      </c>
      <c r="N188" t="str">
        <f t="shared" si="78"/>
        <v>Ev</v>
      </c>
      <c r="O188">
        <f t="shared" si="79"/>
        <v>1</v>
      </c>
      <c r="P188" t="str">
        <f t="shared" si="70"/>
        <v>Mi/Ev</v>
      </c>
      <c r="Q188" s="1" t="str">
        <f t="shared" si="71"/>
        <v>Events [1403]</v>
      </c>
      <c r="R188" s="2" t="str">
        <f t="shared" si="65"/>
        <v>&lt;li&gt;&lt;input type='checkbox'class= 'ckbx' name='1403'value='Mi/Ev'&gt; _ _ Events [1403]&lt;/li&gt;</v>
      </c>
      <c r="T188" t="str">
        <f t="shared" si="68"/>
        <v>&amp;nbsp;&amp;nbsp;</v>
      </c>
      <c r="U188" t="str">
        <f t="shared" si="63"/>
        <v xml:space="preserve"> _ _ </v>
      </c>
      <c r="V188" s="1" t="s">
        <v>177</v>
      </c>
      <c r="W188" t="str">
        <f t="shared" si="81"/>
        <v>Events [1403]</v>
      </c>
      <c r="X188" t="str">
        <f t="shared" si="66"/>
        <v>Ev</v>
      </c>
      <c r="Y188">
        <f t="shared" si="67"/>
        <v>13</v>
      </c>
      <c r="Z188">
        <f t="shared" si="82"/>
        <v>14</v>
      </c>
      <c r="AA188">
        <f t="shared" si="80"/>
        <v>1</v>
      </c>
    </row>
    <row r="189" spans="1:27" x14ac:dyDescent="0.25">
      <c r="A189" t="e">
        <f t="shared" si="72"/>
        <v>#VALUE!</v>
      </c>
      <c r="B189" t="e">
        <f t="shared" si="73"/>
        <v>#VALUE!</v>
      </c>
      <c r="C189" t="e">
        <f t="shared" si="74"/>
        <v>#VALUE!</v>
      </c>
      <c r="D189" t="e">
        <f t="shared" si="64"/>
        <v>#VALUE!</v>
      </c>
      <c r="E189" t="e">
        <f t="shared" si="75"/>
        <v>#VALUE!</v>
      </c>
      <c r="F189">
        <f t="shared" si="76"/>
        <v>0</v>
      </c>
      <c r="G189">
        <f t="shared" si="77"/>
        <v>6</v>
      </c>
      <c r="H189" t="s">
        <v>447</v>
      </c>
      <c r="I189" t="str">
        <f t="shared" si="60"/>
        <v/>
      </c>
      <c r="J189" t="str">
        <f t="shared" si="61"/>
        <v/>
      </c>
      <c r="K189">
        <f t="shared" si="62"/>
        <v>22</v>
      </c>
      <c r="L189" t="str">
        <f t="shared" si="69"/>
        <v>|1,Leaders</v>
      </c>
      <c r="N189" t="str">
        <f t="shared" si="78"/>
        <v>Le</v>
      </c>
      <c r="O189">
        <f t="shared" si="79"/>
        <v>1</v>
      </c>
      <c r="P189" t="str">
        <f t="shared" si="70"/>
        <v>Mi/Le</v>
      </c>
      <c r="Q189" s="1" t="str">
        <f t="shared" si="71"/>
        <v>Leaders</v>
      </c>
      <c r="R189" s="2" t="str">
        <f t="shared" si="65"/>
        <v>&lt;li&gt;&lt;input type='checkbox'class= 'ckbx' name='0'value='Mi/Le'&gt; _ _ Leaders&lt;/li&gt;</v>
      </c>
      <c r="T189" t="str">
        <f t="shared" si="68"/>
        <v>&amp;nbsp;&amp;nbsp;</v>
      </c>
      <c r="U189" t="str">
        <f t="shared" si="63"/>
        <v xml:space="preserve"> _ _ </v>
      </c>
      <c r="V189" s="1" t="s">
        <v>178</v>
      </c>
      <c r="W189" t="str">
        <f t="shared" si="81"/>
        <v>Leaders</v>
      </c>
      <c r="X189" t="str">
        <f t="shared" si="66"/>
        <v>Le</v>
      </c>
      <c r="Y189">
        <f t="shared" si="67"/>
        <v>7</v>
      </c>
      <c r="Z189">
        <f t="shared" si="82"/>
        <v>8</v>
      </c>
      <c r="AA189">
        <f t="shared" si="80"/>
        <v>1</v>
      </c>
    </row>
    <row r="190" spans="1:27" x14ac:dyDescent="0.25">
      <c r="A190">
        <f t="shared" si="72"/>
        <v>8</v>
      </c>
      <c r="B190">
        <f t="shared" si="73"/>
        <v>12</v>
      </c>
      <c r="C190" t="str">
        <f t="shared" si="74"/>
        <v>167]</v>
      </c>
      <c r="D190">
        <f t="shared" si="64"/>
        <v>4</v>
      </c>
      <c r="E190" t="str">
        <f t="shared" si="75"/>
        <v>167</v>
      </c>
      <c r="F190" t="str">
        <f t="shared" si="76"/>
        <v>167</v>
      </c>
      <c r="G190">
        <f t="shared" si="77"/>
        <v>9</v>
      </c>
      <c r="H190" t="s">
        <v>448</v>
      </c>
      <c r="I190" t="str">
        <f t="shared" si="60"/>
        <v/>
      </c>
      <c r="J190" t="str">
        <f t="shared" si="61"/>
        <v/>
      </c>
      <c r="K190">
        <f t="shared" si="62"/>
        <v>20</v>
      </c>
      <c r="L190" t="str">
        <f t="shared" si="69"/>
        <v>|2,Navy [167]</v>
      </c>
      <c r="N190" t="str">
        <f t="shared" si="78"/>
        <v>Na</v>
      </c>
      <c r="O190">
        <f t="shared" si="79"/>
        <v>2</v>
      </c>
      <c r="P190" t="str">
        <f t="shared" si="70"/>
        <v>Mi/Le/Na</v>
      </c>
      <c r="Q190" s="1" t="str">
        <f t="shared" si="71"/>
        <v>Navy [167]</v>
      </c>
      <c r="R190" s="2" t="str">
        <f t="shared" si="65"/>
        <v>&lt;li&gt;&lt;input type='checkbox'class= 'ckbx' name='167'value='Mi/Le/Na'&gt; _ _ _ _Navy [167]&lt;/li&gt;</v>
      </c>
      <c r="T190" t="str">
        <f t="shared" si="68"/>
        <v>&amp;nbsp;&amp;nbsp;&amp;nbsp;&amp;nbsp;</v>
      </c>
      <c r="U190" t="str">
        <f t="shared" si="63"/>
        <v xml:space="preserve"> _ _ _ _</v>
      </c>
      <c r="V190" s="1" t="s">
        <v>179</v>
      </c>
      <c r="W190" t="str">
        <f t="shared" si="81"/>
        <v>Navy [167]</v>
      </c>
      <c r="X190" t="str">
        <f t="shared" si="66"/>
        <v>Na</v>
      </c>
      <c r="Y190">
        <f t="shared" si="67"/>
        <v>10</v>
      </c>
      <c r="Z190">
        <f t="shared" si="82"/>
        <v>12</v>
      </c>
      <c r="AA190">
        <f t="shared" si="80"/>
        <v>2</v>
      </c>
    </row>
    <row r="191" spans="1:27" x14ac:dyDescent="0.25">
      <c r="A191">
        <f t="shared" si="72"/>
        <v>8</v>
      </c>
      <c r="B191">
        <f t="shared" si="73"/>
        <v>11</v>
      </c>
      <c r="C191" t="str">
        <f t="shared" si="74"/>
        <v>19]</v>
      </c>
      <c r="D191">
        <f t="shared" si="64"/>
        <v>3</v>
      </c>
      <c r="E191" t="str">
        <f t="shared" si="75"/>
        <v>19</v>
      </c>
      <c r="F191" t="str">
        <f t="shared" si="76"/>
        <v>19</v>
      </c>
      <c r="G191">
        <f t="shared" si="77"/>
        <v>6</v>
      </c>
      <c r="H191" t="s">
        <v>449</v>
      </c>
      <c r="I191" t="str">
        <f t="shared" si="60"/>
        <v/>
      </c>
      <c r="J191" t="str">
        <f t="shared" si="61"/>
        <v/>
      </c>
      <c r="K191">
        <f t="shared" si="62"/>
        <v>22</v>
      </c>
      <c r="L191" t="str">
        <f t="shared" si="69"/>
        <v>|1,Ranks [19]</v>
      </c>
      <c r="N191" t="str">
        <f t="shared" si="78"/>
        <v>Ra</v>
      </c>
      <c r="O191">
        <f t="shared" si="79"/>
        <v>1</v>
      </c>
      <c r="P191" t="str">
        <f t="shared" si="70"/>
        <v>Mi/Ra</v>
      </c>
      <c r="Q191" s="1" t="str">
        <f t="shared" si="71"/>
        <v>Ranks [19]</v>
      </c>
      <c r="R191" s="2" t="str">
        <f t="shared" si="65"/>
        <v>&lt;li&gt;&lt;input type='checkbox'class= 'ckbx' name='19'value='Mi/Ra'&gt; _ _ Ranks [19]&lt;/li&gt;</v>
      </c>
      <c r="T191" t="str">
        <f t="shared" si="68"/>
        <v>&amp;nbsp;&amp;nbsp;</v>
      </c>
      <c r="U191" t="str">
        <f t="shared" si="63"/>
        <v xml:space="preserve"> _ _ </v>
      </c>
      <c r="V191" s="1" t="s">
        <v>180</v>
      </c>
      <c r="W191" t="str">
        <f t="shared" si="81"/>
        <v>Ranks [19]</v>
      </c>
      <c r="X191" t="str">
        <f t="shared" si="66"/>
        <v>Ra</v>
      </c>
      <c r="Y191">
        <f t="shared" si="67"/>
        <v>10</v>
      </c>
      <c r="Z191">
        <f t="shared" si="82"/>
        <v>11</v>
      </c>
      <c r="AA191">
        <f t="shared" si="80"/>
        <v>1</v>
      </c>
    </row>
    <row r="192" spans="1:27" x14ac:dyDescent="0.25">
      <c r="A192">
        <f t="shared" si="72"/>
        <v>8</v>
      </c>
      <c r="B192">
        <f t="shared" si="73"/>
        <v>12</v>
      </c>
      <c r="C192" t="str">
        <f t="shared" si="74"/>
        <v>117]</v>
      </c>
      <c r="D192">
        <f t="shared" si="64"/>
        <v>4</v>
      </c>
      <c r="E192" t="str">
        <f t="shared" si="75"/>
        <v>117</v>
      </c>
      <c r="F192" t="str">
        <f t="shared" si="76"/>
        <v>117</v>
      </c>
      <c r="G192">
        <f t="shared" si="77"/>
        <v>6</v>
      </c>
      <c r="H192" t="s">
        <v>450</v>
      </c>
      <c r="I192" t="str">
        <f t="shared" si="60"/>
        <v/>
      </c>
      <c r="J192" t="str">
        <f t="shared" si="61"/>
        <v/>
      </c>
      <c r="K192">
        <f t="shared" si="62"/>
        <v>22</v>
      </c>
      <c r="L192" t="str">
        <f t="shared" si="69"/>
        <v>|1,Ships [117]</v>
      </c>
      <c r="N192" t="str">
        <f t="shared" si="78"/>
        <v>Sh</v>
      </c>
      <c r="O192">
        <f t="shared" si="79"/>
        <v>1</v>
      </c>
      <c r="P192" t="str">
        <f t="shared" si="70"/>
        <v>Mi/Sh</v>
      </c>
      <c r="Q192" s="1" t="str">
        <f t="shared" si="71"/>
        <v>Ships [117]</v>
      </c>
      <c r="R192" s="2" t="str">
        <f t="shared" si="65"/>
        <v>&lt;li&gt;&lt;input type='checkbox'class= 'ckbx' name='117'value='Mi/Sh'&gt; _ _ Ships [117]&lt;/li&gt;</v>
      </c>
      <c r="T192" t="str">
        <f t="shared" si="68"/>
        <v>&amp;nbsp;&amp;nbsp;</v>
      </c>
      <c r="U192" t="str">
        <f t="shared" si="63"/>
        <v xml:space="preserve"> _ _ </v>
      </c>
      <c r="V192" s="1" t="s">
        <v>181</v>
      </c>
      <c r="W192" t="str">
        <f t="shared" si="81"/>
        <v>Ships [117]</v>
      </c>
      <c r="X192" t="str">
        <f t="shared" si="66"/>
        <v>Sh</v>
      </c>
      <c r="Y192">
        <f t="shared" si="67"/>
        <v>11</v>
      </c>
      <c r="Z192">
        <f t="shared" si="82"/>
        <v>12</v>
      </c>
      <c r="AA192">
        <f t="shared" si="80"/>
        <v>1</v>
      </c>
    </row>
    <row r="193" spans="1:27" x14ac:dyDescent="0.25">
      <c r="A193">
        <f t="shared" si="72"/>
        <v>8</v>
      </c>
      <c r="B193">
        <f t="shared" si="73"/>
        <v>10</v>
      </c>
      <c r="C193" t="str">
        <f t="shared" si="74"/>
        <v>3]</v>
      </c>
      <c r="D193">
        <f t="shared" si="64"/>
        <v>2</v>
      </c>
      <c r="E193" t="str">
        <f t="shared" si="75"/>
        <v>3</v>
      </c>
      <c r="F193" t="str">
        <f t="shared" si="76"/>
        <v>3</v>
      </c>
      <c r="G193">
        <f t="shared" si="77"/>
        <v>3</v>
      </c>
      <c r="H193" t="s">
        <v>286</v>
      </c>
      <c r="I193" t="str">
        <f t="shared" si="60"/>
        <v>&lt;b&gt;</v>
      </c>
      <c r="J193" t="str">
        <f t="shared" si="61"/>
        <v>&lt;/b&gt;</v>
      </c>
      <c r="K193">
        <f t="shared" si="62"/>
        <v>24</v>
      </c>
      <c r="L193" t="str">
        <f t="shared" si="69"/>
        <v>|0,Nature [3]</v>
      </c>
      <c r="N193" t="str">
        <f t="shared" si="78"/>
        <v>Na</v>
      </c>
      <c r="O193">
        <f t="shared" si="79"/>
        <v>0</v>
      </c>
      <c r="P193" t="str">
        <f t="shared" si="70"/>
        <v>Na</v>
      </c>
      <c r="Q193" s="1" t="str">
        <f t="shared" si="71"/>
        <v>Nature [3]</v>
      </c>
      <c r="R193" s="2" t="str">
        <f t="shared" si="65"/>
        <v>&lt;li&gt;&lt;input type='checkbox'class= 'ckbx' name='3'value='Na'&gt;&lt;b&gt;Nature [3]&lt;/b&gt;&lt;/li&gt;</v>
      </c>
      <c r="T193" t="str">
        <f t="shared" si="68"/>
        <v/>
      </c>
      <c r="U193" t="str">
        <f t="shared" si="63"/>
        <v/>
      </c>
      <c r="V193" s="1" t="s">
        <v>182</v>
      </c>
      <c r="W193" t="str">
        <f t="shared" si="81"/>
        <v>Nature [3]</v>
      </c>
      <c r="X193" t="str">
        <f t="shared" si="66"/>
        <v>Na</v>
      </c>
      <c r="Y193">
        <f t="shared" si="67"/>
        <v>10</v>
      </c>
      <c r="Z193">
        <f t="shared" si="82"/>
        <v>10</v>
      </c>
      <c r="AA193">
        <f t="shared" si="80"/>
        <v>0</v>
      </c>
    </row>
    <row r="194" spans="1:27" x14ac:dyDescent="0.25">
      <c r="A194">
        <f t="shared" si="72"/>
        <v>10</v>
      </c>
      <c r="B194">
        <f t="shared" si="73"/>
        <v>13</v>
      </c>
      <c r="C194" t="str">
        <f t="shared" si="74"/>
        <v>34]</v>
      </c>
      <c r="D194">
        <f t="shared" si="64"/>
        <v>3</v>
      </c>
      <c r="E194" t="str">
        <f t="shared" si="75"/>
        <v>34</v>
      </c>
      <c r="F194" t="str">
        <f t="shared" si="76"/>
        <v>34</v>
      </c>
      <c r="G194">
        <f t="shared" si="77"/>
        <v>6</v>
      </c>
      <c r="H194" t="s">
        <v>451</v>
      </c>
      <c r="I194" t="str">
        <f t="shared" si="60"/>
        <v/>
      </c>
      <c r="J194" t="str">
        <f t="shared" si="61"/>
        <v/>
      </c>
      <c r="K194">
        <f t="shared" si="62"/>
        <v>22</v>
      </c>
      <c r="L194" t="str">
        <f t="shared" si="69"/>
        <v>|1,Animals [34]</v>
      </c>
      <c r="N194" t="str">
        <f t="shared" si="78"/>
        <v>An</v>
      </c>
      <c r="O194">
        <f t="shared" si="79"/>
        <v>1</v>
      </c>
      <c r="P194" t="str">
        <f t="shared" si="70"/>
        <v>Na/An</v>
      </c>
      <c r="Q194" s="1" t="str">
        <f t="shared" si="71"/>
        <v>Animals [34]</v>
      </c>
      <c r="R194" s="2" t="str">
        <f t="shared" si="65"/>
        <v>&lt;li&gt;&lt;input type='checkbox'class= 'ckbx' name='34'value='Na/An'&gt; _ _ Animals [34]&lt;/li&gt;</v>
      </c>
      <c r="T194" t="str">
        <f t="shared" si="68"/>
        <v>&amp;nbsp;&amp;nbsp;</v>
      </c>
      <c r="U194" t="str">
        <f t="shared" si="63"/>
        <v xml:space="preserve"> _ _ </v>
      </c>
      <c r="V194" s="1" t="s">
        <v>183</v>
      </c>
      <c r="W194" t="str">
        <f t="shared" si="81"/>
        <v>Animals [34]</v>
      </c>
      <c r="X194" t="str">
        <f t="shared" si="66"/>
        <v>An</v>
      </c>
      <c r="Y194">
        <f t="shared" si="67"/>
        <v>12</v>
      </c>
      <c r="Z194">
        <f t="shared" si="82"/>
        <v>13</v>
      </c>
      <c r="AA194">
        <f t="shared" si="80"/>
        <v>1</v>
      </c>
    </row>
    <row r="195" spans="1:27" x14ac:dyDescent="0.25">
      <c r="A195">
        <f t="shared" si="72"/>
        <v>15</v>
      </c>
      <c r="B195">
        <f t="shared" si="73"/>
        <v>17</v>
      </c>
      <c r="C195" t="str">
        <f t="shared" si="74"/>
        <v>2]</v>
      </c>
      <c r="D195">
        <f t="shared" si="64"/>
        <v>2</v>
      </c>
      <c r="E195" t="str">
        <f t="shared" si="75"/>
        <v>2</v>
      </c>
      <c r="F195" t="str">
        <f t="shared" si="76"/>
        <v>2</v>
      </c>
      <c r="G195">
        <f t="shared" si="77"/>
        <v>3</v>
      </c>
      <c r="H195" t="s">
        <v>287</v>
      </c>
      <c r="I195" t="str">
        <f t="shared" si="60"/>
        <v>&lt;b&gt;</v>
      </c>
      <c r="J195" t="str">
        <f t="shared" si="61"/>
        <v>&lt;/b&gt;</v>
      </c>
      <c r="K195">
        <f t="shared" si="62"/>
        <v>24</v>
      </c>
      <c r="L195" t="str">
        <f t="shared" si="69"/>
        <v>|0,Organizations [2]</v>
      </c>
      <c r="N195" t="str">
        <f t="shared" si="78"/>
        <v>Or</v>
      </c>
      <c r="O195">
        <f t="shared" si="79"/>
        <v>0</v>
      </c>
      <c r="P195" t="str">
        <f t="shared" si="70"/>
        <v>Or</v>
      </c>
      <c r="Q195" s="1" t="str">
        <f t="shared" si="71"/>
        <v>Organizations [2]</v>
      </c>
      <c r="R195" s="2" t="str">
        <f t="shared" si="65"/>
        <v>&lt;li&gt;&lt;input type='checkbox'class= 'ckbx' name='2'value='Or'&gt;&lt;b&gt;Organizations [2]&lt;/b&gt;&lt;/li&gt;</v>
      </c>
      <c r="T195" t="str">
        <f t="shared" si="68"/>
        <v/>
      </c>
      <c r="U195" t="str">
        <f t="shared" si="63"/>
        <v/>
      </c>
      <c r="V195" s="1" t="s">
        <v>184</v>
      </c>
      <c r="W195" t="str">
        <f t="shared" si="81"/>
        <v>Organizations [2]</v>
      </c>
      <c r="X195" t="str">
        <f t="shared" si="66"/>
        <v>Or</v>
      </c>
      <c r="Y195">
        <f t="shared" si="67"/>
        <v>17</v>
      </c>
      <c r="Z195">
        <f t="shared" si="82"/>
        <v>17</v>
      </c>
      <c r="AA195">
        <f t="shared" si="80"/>
        <v>0</v>
      </c>
    </row>
    <row r="196" spans="1:27" x14ac:dyDescent="0.25">
      <c r="A196">
        <f t="shared" si="72"/>
        <v>12</v>
      </c>
      <c r="B196">
        <f t="shared" si="73"/>
        <v>16</v>
      </c>
      <c r="C196" t="str">
        <f t="shared" si="74"/>
        <v>175]</v>
      </c>
      <c r="D196">
        <f t="shared" si="64"/>
        <v>4</v>
      </c>
      <c r="E196" t="str">
        <f t="shared" si="75"/>
        <v>175</v>
      </c>
      <c r="F196" t="str">
        <f t="shared" si="76"/>
        <v>175</v>
      </c>
      <c r="G196">
        <f t="shared" si="77"/>
        <v>6</v>
      </c>
      <c r="H196" t="s">
        <v>452</v>
      </c>
      <c r="I196" t="str">
        <f t="shared" si="60"/>
        <v/>
      </c>
      <c r="J196" t="str">
        <f t="shared" si="61"/>
        <v/>
      </c>
      <c r="K196">
        <f t="shared" si="62"/>
        <v>22</v>
      </c>
      <c r="L196" t="str">
        <f t="shared" si="69"/>
        <v>|1,Political [175]</v>
      </c>
      <c r="N196" t="str">
        <f t="shared" si="78"/>
        <v>Po</v>
      </c>
      <c r="O196">
        <f t="shared" si="79"/>
        <v>1</v>
      </c>
      <c r="P196" t="str">
        <f t="shared" si="70"/>
        <v>Or/Po</v>
      </c>
      <c r="Q196" s="1" t="str">
        <f t="shared" si="71"/>
        <v>Political [175]</v>
      </c>
      <c r="R196" s="2" t="str">
        <f t="shared" si="65"/>
        <v>&lt;li&gt;&lt;input type='checkbox'class= 'ckbx' name='175'value='Or/Po'&gt; _ _ Political [175]&lt;/li&gt;</v>
      </c>
      <c r="T196" t="str">
        <f t="shared" si="68"/>
        <v>&amp;nbsp;&amp;nbsp;</v>
      </c>
      <c r="U196" t="str">
        <f t="shared" si="63"/>
        <v xml:space="preserve"> _ _ </v>
      </c>
      <c r="V196" s="1" t="s">
        <v>185</v>
      </c>
      <c r="W196" t="str">
        <f t="shared" si="81"/>
        <v>Political [175]</v>
      </c>
      <c r="X196" t="str">
        <f t="shared" si="66"/>
        <v>Po</v>
      </c>
      <c r="Y196">
        <f t="shared" si="67"/>
        <v>15</v>
      </c>
      <c r="Z196">
        <f t="shared" si="82"/>
        <v>16</v>
      </c>
      <c r="AA196">
        <f t="shared" si="80"/>
        <v>1</v>
      </c>
    </row>
    <row r="197" spans="1:27" x14ac:dyDescent="0.25">
      <c r="A197">
        <f t="shared" si="72"/>
        <v>8</v>
      </c>
      <c r="B197">
        <f t="shared" si="73"/>
        <v>11</v>
      </c>
      <c r="C197" t="str">
        <f t="shared" si="74"/>
        <v>39]</v>
      </c>
      <c r="D197">
        <f t="shared" si="64"/>
        <v>3</v>
      </c>
      <c r="E197" t="str">
        <f t="shared" si="75"/>
        <v>39</v>
      </c>
      <c r="F197" t="str">
        <f t="shared" si="76"/>
        <v>39</v>
      </c>
      <c r="G197">
        <f t="shared" si="77"/>
        <v>3</v>
      </c>
      <c r="H197" t="s">
        <v>288</v>
      </c>
      <c r="I197" t="str">
        <f t="shared" si="60"/>
        <v>&lt;b&gt;</v>
      </c>
      <c r="J197" t="str">
        <f t="shared" si="61"/>
        <v>&lt;/b&gt;</v>
      </c>
      <c r="K197">
        <f t="shared" si="62"/>
        <v>24</v>
      </c>
      <c r="L197" t="str">
        <f t="shared" si="69"/>
        <v>|0,People [39]</v>
      </c>
      <c r="N197" t="str">
        <f t="shared" si="78"/>
        <v>Pe</v>
      </c>
      <c r="O197">
        <f t="shared" si="79"/>
        <v>0</v>
      </c>
      <c r="P197" t="str">
        <f t="shared" si="70"/>
        <v>Pe</v>
      </c>
      <c r="Q197" s="1" t="str">
        <f t="shared" si="71"/>
        <v>People [39]</v>
      </c>
      <c r="R197" s="2" t="str">
        <f t="shared" si="65"/>
        <v>&lt;li&gt;&lt;input type='checkbox'class= 'ckbx' name='39'value='Pe'&gt;&lt;b&gt;People [39]&lt;/b&gt;&lt;/li&gt;</v>
      </c>
      <c r="T197" t="str">
        <f t="shared" si="68"/>
        <v/>
      </c>
      <c r="U197" t="str">
        <f t="shared" si="63"/>
        <v/>
      </c>
      <c r="V197" s="1" t="s">
        <v>186</v>
      </c>
      <c r="W197" t="str">
        <f t="shared" si="81"/>
        <v>People [39]</v>
      </c>
      <c r="X197" t="str">
        <f t="shared" si="66"/>
        <v>Pe</v>
      </c>
      <c r="Y197">
        <f t="shared" si="67"/>
        <v>11</v>
      </c>
      <c r="Z197">
        <f t="shared" si="82"/>
        <v>11</v>
      </c>
      <c r="AA197">
        <f t="shared" si="80"/>
        <v>0</v>
      </c>
    </row>
    <row r="198" spans="1:27" x14ac:dyDescent="0.25">
      <c r="A198">
        <f t="shared" si="72"/>
        <v>14</v>
      </c>
      <c r="B198">
        <f t="shared" si="73"/>
        <v>16</v>
      </c>
      <c r="C198" t="str">
        <f t="shared" si="74"/>
        <v>7]</v>
      </c>
      <c r="D198">
        <f t="shared" si="64"/>
        <v>2</v>
      </c>
      <c r="E198" t="str">
        <f t="shared" si="75"/>
        <v>7</v>
      </c>
      <c r="F198" t="str">
        <f t="shared" si="76"/>
        <v>7</v>
      </c>
      <c r="G198">
        <f t="shared" si="77"/>
        <v>6</v>
      </c>
      <c r="H198" t="s">
        <v>453</v>
      </c>
      <c r="I198" t="str">
        <f t="shared" si="60"/>
        <v/>
      </c>
      <c r="J198" t="str">
        <f t="shared" si="61"/>
        <v/>
      </c>
      <c r="K198">
        <f t="shared" si="62"/>
        <v>22</v>
      </c>
      <c r="L198" t="str">
        <f t="shared" si="69"/>
        <v>|1,Discoverers [7]</v>
      </c>
      <c r="N198" t="str">
        <f t="shared" si="78"/>
        <v>Di</v>
      </c>
      <c r="O198">
        <f t="shared" si="79"/>
        <v>1</v>
      </c>
      <c r="P198" t="str">
        <f t="shared" si="70"/>
        <v>Pe/Di</v>
      </c>
      <c r="Q198" s="1" t="str">
        <f t="shared" si="71"/>
        <v>Discoverers [7]</v>
      </c>
      <c r="R198" s="2" t="str">
        <f t="shared" si="65"/>
        <v>&lt;li&gt;&lt;input type='checkbox'class= 'ckbx' name='7'value='Pe/Di'&gt; _ _ Discoverers [7]&lt;/li&gt;</v>
      </c>
      <c r="T198" t="str">
        <f t="shared" si="68"/>
        <v>&amp;nbsp;&amp;nbsp;</v>
      </c>
      <c r="U198" t="str">
        <f t="shared" si="63"/>
        <v xml:space="preserve"> _ _ </v>
      </c>
      <c r="V198" s="1" t="s">
        <v>187</v>
      </c>
      <c r="W198" t="str">
        <f t="shared" si="81"/>
        <v>Discoverers [7]</v>
      </c>
      <c r="X198" t="str">
        <f t="shared" si="66"/>
        <v>Di</v>
      </c>
      <c r="Y198">
        <f t="shared" si="67"/>
        <v>15</v>
      </c>
      <c r="Z198">
        <f t="shared" si="82"/>
        <v>16</v>
      </c>
      <c r="AA198">
        <f t="shared" si="80"/>
        <v>1</v>
      </c>
    </row>
    <row r="199" spans="1:27" x14ac:dyDescent="0.25">
      <c r="A199">
        <f t="shared" si="72"/>
        <v>9</v>
      </c>
      <c r="B199">
        <f t="shared" si="73"/>
        <v>13</v>
      </c>
      <c r="C199" t="str">
        <f t="shared" si="74"/>
        <v>191]</v>
      </c>
      <c r="D199">
        <f t="shared" si="64"/>
        <v>4</v>
      </c>
      <c r="E199" t="str">
        <f t="shared" si="75"/>
        <v>191</v>
      </c>
      <c r="F199" t="str">
        <f t="shared" si="76"/>
        <v>191</v>
      </c>
      <c r="G199">
        <f t="shared" si="77"/>
        <v>6</v>
      </c>
      <c r="H199" t="s">
        <v>454</v>
      </c>
      <c r="I199" t="str">
        <f t="shared" si="60"/>
        <v/>
      </c>
      <c r="J199" t="str">
        <f t="shared" si="61"/>
        <v/>
      </c>
      <c r="K199">
        <f t="shared" si="62"/>
        <v>22</v>
      </c>
      <c r="L199" t="str">
        <f t="shared" si="69"/>
        <v>|1,Famous [191]</v>
      </c>
      <c r="N199" t="str">
        <f t="shared" si="78"/>
        <v>Fa</v>
      </c>
      <c r="O199">
        <f t="shared" si="79"/>
        <v>1</v>
      </c>
      <c r="P199" t="str">
        <f t="shared" si="70"/>
        <v>Pe/Fa</v>
      </c>
      <c r="Q199" s="1" t="str">
        <f t="shared" si="71"/>
        <v>Famous [191]</v>
      </c>
      <c r="R199" s="2" t="str">
        <f t="shared" si="65"/>
        <v>&lt;li&gt;&lt;input type='checkbox'class= 'ckbx' name='191'value='Pe/Fa'&gt; _ _ Famous [191]&lt;/li&gt;</v>
      </c>
      <c r="T199" t="str">
        <f t="shared" si="68"/>
        <v>&amp;nbsp;&amp;nbsp;</v>
      </c>
      <c r="U199" t="str">
        <f t="shared" si="63"/>
        <v xml:space="preserve"> _ _ </v>
      </c>
      <c r="V199" s="1" t="s">
        <v>188</v>
      </c>
      <c r="W199" t="str">
        <f t="shared" si="81"/>
        <v>Famous [191]</v>
      </c>
      <c r="X199" t="str">
        <f t="shared" si="66"/>
        <v>Fa</v>
      </c>
      <c r="Y199">
        <f t="shared" si="67"/>
        <v>12</v>
      </c>
      <c r="Z199">
        <f t="shared" si="82"/>
        <v>13</v>
      </c>
      <c r="AA199">
        <f t="shared" si="80"/>
        <v>1</v>
      </c>
    </row>
    <row r="200" spans="1:27" x14ac:dyDescent="0.25">
      <c r="A200">
        <f t="shared" si="72"/>
        <v>17</v>
      </c>
      <c r="B200">
        <f t="shared" si="73"/>
        <v>19</v>
      </c>
      <c r="C200" t="str">
        <f t="shared" si="74"/>
        <v>1]</v>
      </c>
      <c r="D200">
        <f t="shared" si="64"/>
        <v>2</v>
      </c>
      <c r="E200" t="str">
        <f t="shared" si="75"/>
        <v>1</v>
      </c>
      <c r="F200" t="str">
        <f t="shared" si="76"/>
        <v>1</v>
      </c>
      <c r="G200">
        <f t="shared" si="77"/>
        <v>9</v>
      </c>
      <c r="H200" t="s">
        <v>455</v>
      </c>
      <c r="I200" t="str">
        <f t="shared" si="60"/>
        <v/>
      </c>
      <c r="J200" t="str">
        <f t="shared" si="61"/>
        <v/>
      </c>
      <c r="K200">
        <f t="shared" si="62"/>
        <v>20</v>
      </c>
      <c r="L200" t="str">
        <f t="shared" si="69"/>
        <v>|2,Famous Quotes [1]</v>
      </c>
      <c r="N200" t="str">
        <f t="shared" si="78"/>
        <v>Fa</v>
      </c>
      <c r="O200">
        <f t="shared" si="79"/>
        <v>2</v>
      </c>
      <c r="P200" t="str">
        <f t="shared" si="70"/>
        <v>Pe/Fa/Fa</v>
      </c>
      <c r="Q200" s="1" t="str">
        <f t="shared" si="71"/>
        <v>Famous Quotes [1]</v>
      </c>
      <c r="R200" s="2" t="str">
        <f t="shared" si="65"/>
        <v>&lt;li&gt;&lt;input type='checkbox'class= 'ckbx' name='1'value='Pe/Fa/Fa'&gt; _ _ _ _Famous Quotes [1]&lt;/li&gt;</v>
      </c>
      <c r="T200" t="str">
        <f t="shared" si="68"/>
        <v>&amp;nbsp;&amp;nbsp;&amp;nbsp;&amp;nbsp;</v>
      </c>
      <c r="U200" t="str">
        <f t="shared" si="63"/>
        <v xml:space="preserve"> _ _ _ _</v>
      </c>
      <c r="V200" s="1" t="s">
        <v>189</v>
      </c>
      <c r="W200" t="str">
        <f t="shared" si="81"/>
        <v>Famous Quotes [1]</v>
      </c>
      <c r="X200" t="str">
        <f t="shared" si="66"/>
        <v>Fa</v>
      </c>
      <c r="Y200">
        <f t="shared" si="67"/>
        <v>17</v>
      </c>
      <c r="Z200">
        <f t="shared" si="82"/>
        <v>19</v>
      </c>
      <c r="AA200">
        <f t="shared" si="80"/>
        <v>2</v>
      </c>
    </row>
    <row r="201" spans="1:27" x14ac:dyDescent="0.25">
      <c r="A201">
        <f t="shared" si="72"/>
        <v>9</v>
      </c>
      <c r="B201">
        <f t="shared" si="73"/>
        <v>11</v>
      </c>
      <c r="C201" t="str">
        <f t="shared" si="74"/>
        <v>1]</v>
      </c>
      <c r="D201">
        <f t="shared" si="64"/>
        <v>2</v>
      </c>
      <c r="E201" t="str">
        <f t="shared" si="75"/>
        <v>1</v>
      </c>
      <c r="F201" t="str">
        <f t="shared" si="76"/>
        <v>1</v>
      </c>
      <c r="G201">
        <f t="shared" si="77"/>
        <v>9</v>
      </c>
      <c r="H201" t="s">
        <v>456</v>
      </c>
      <c r="I201" t="str">
        <f t="shared" si="60"/>
        <v/>
      </c>
      <c r="J201" t="str">
        <f t="shared" si="61"/>
        <v/>
      </c>
      <c r="K201">
        <f t="shared" si="62"/>
        <v>20</v>
      </c>
      <c r="L201" t="str">
        <f t="shared" si="69"/>
        <v>|2,Women [1]</v>
      </c>
      <c r="N201" t="str">
        <f t="shared" si="78"/>
        <v>Wo</v>
      </c>
      <c r="O201">
        <f t="shared" si="79"/>
        <v>2</v>
      </c>
      <c r="P201" t="str">
        <f t="shared" si="70"/>
        <v>Pe/Fa/Wo</v>
      </c>
      <c r="Q201" s="1" t="str">
        <f t="shared" si="71"/>
        <v>Women [1]</v>
      </c>
      <c r="R201" s="2" t="str">
        <f t="shared" si="65"/>
        <v>&lt;li&gt;&lt;input type='checkbox'class= 'ckbx' name='1'value='Pe/Fa/Wo'&gt; _ _ _ _Women [1]&lt;/li&gt;</v>
      </c>
      <c r="T201" t="str">
        <f t="shared" si="68"/>
        <v>&amp;nbsp;&amp;nbsp;&amp;nbsp;&amp;nbsp;</v>
      </c>
      <c r="U201" t="str">
        <f t="shared" si="63"/>
        <v xml:space="preserve"> _ _ _ _</v>
      </c>
      <c r="V201" s="1" t="s">
        <v>190</v>
      </c>
      <c r="W201" t="str">
        <f t="shared" si="81"/>
        <v>Women [1]</v>
      </c>
      <c r="X201" t="str">
        <f t="shared" si="66"/>
        <v>Wo</v>
      </c>
      <c r="Y201">
        <f t="shared" si="67"/>
        <v>9</v>
      </c>
      <c r="Z201">
        <f t="shared" si="82"/>
        <v>11</v>
      </c>
      <c r="AA201">
        <f t="shared" si="80"/>
        <v>2</v>
      </c>
    </row>
    <row r="202" spans="1:27" x14ac:dyDescent="0.25">
      <c r="A202">
        <f t="shared" si="72"/>
        <v>12</v>
      </c>
      <c r="B202">
        <f t="shared" si="73"/>
        <v>14</v>
      </c>
      <c r="C202" t="str">
        <f t="shared" si="74"/>
        <v>6]</v>
      </c>
      <c r="D202">
        <f t="shared" si="64"/>
        <v>2</v>
      </c>
      <c r="E202" t="str">
        <f t="shared" si="75"/>
        <v>6</v>
      </c>
      <c r="F202" t="str">
        <f t="shared" si="76"/>
        <v>6</v>
      </c>
      <c r="G202">
        <f t="shared" si="77"/>
        <v>6</v>
      </c>
      <c r="H202" t="s">
        <v>457</v>
      </c>
      <c r="I202" t="str">
        <f t="shared" si="60"/>
        <v/>
      </c>
      <c r="J202" t="str">
        <f t="shared" si="61"/>
        <v/>
      </c>
      <c r="K202">
        <f t="shared" si="62"/>
        <v>22</v>
      </c>
      <c r="L202" t="str">
        <f t="shared" si="69"/>
        <v>|1,Inventors [6]</v>
      </c>
      <c r="N202" t="str">
        <f t="shared" si="78"/>
        <v>In</v>
      </c>
      <c r="O202">
        <f t="shared" si="79"/>
        <v>1</v>
      </c>
      <c r="P202" t="str">
        <f t="shared" si="70"/>
        <v>Pe/In</v>
      </c>
      <c r="Q202" s="1" t="str">
        <f t="shared" si="71"/>
        <v>Inventors [6]</v>
      </c>
      <c r="R202" s="2" t="str">
        <f t="shared" si="65"/>
        <v>&lt;li&gt;&lt;input type='checkbox'class= 'ckbx' name='6'value='Pe/In'&gt; _ _ Inventors [6]&lt;/li&gt;</v>
      </c>
      <c r="T202" t="str">
        <f t="shared" si="68"/>
        <v>&amp;nbsp;&amp;nbsp;</v>
      </c>
      <c r="U202" t="str">
        <f t="shared" si="63"/>
        <v xml:space="preserve"> _ _ </v>
      </c>
      <c r="V202" s="1" t="s">
        <v>191</v>
      </c>
      <c r="W202" t="str">
        <f t="shared" si="81"/>
        <v>Inventors [6]</v>
      </c>
      <c r="X202" t="str">
        <f t="shared" si="66"/>
        <v>In</v>
      </c>
      <c r="Y202">
        <f t="shared" si="67"/>
        <v>13</v>
      </c>
      <c r="Z202">
        <f t="shared" si="82"/>
        <v>14</v>
      </c>
      <c r="AA202">
        <f t="shared" si="80"/>
        <v>1</v>
      </c>
    </row>
    <row r="203" spans="1:27" x14ac:dyDescent="0.25">
      <c r="A203">
        <f t="shared" si="72"/>
        <v>10</v>
      </c>
      <c r="B203">
        <f t="shared" si="73"/>
        <v>15</v>
      </c>
      <c r="C203" t="str">
        <f t="shared" si="74"/>
        <v>2257]</v>
      </c>
      <c r="D203">
        <f t="shared" si="64"/>
        <v>5</v>
      </c>
      <c r="E203" t="str">
        <f t="shared" si="75"/>
        <v>2257</v>
      </c>
      <c r="F203" t="str">
        <f t="shared" si="76"/>
        <v>2257</v>
      </c>
      <c r="G203">
        <f t="shared" si="77"/>
        <v>6</v>
      </c>
      <c r="H203" t="s">
        <v>458</v>
      </c>
      <c r="I203" t="str">
        <f t="shared" ref="I203:I265" si="83">IF(O203=0,"&lt;b&gt;","")</f>
        <v/>
      </c>
      <c r="J203" t="str">
        <f t="shared" ref="J203:J265" si="84">IF(O203=0,"&lt;/b&gt;","")</f>
        <v/>
      </c>
      <c r="K203">
        <f t="shared" ref="K203:K265" si="85">24 - (O203*2)</f>
        <v>22</v>
      </c>
      <c r="L203" t="str">
        <f t="shared" si="69"/>
        <v>|1,Leaders [2257]</v>
      </c>
      <c r="N203" t="str">
        <f t="shared" si="78"/>
        <v>Le</v>
      </c>
      <c r="O203">
        <f t="shared" si="79"/>
        <v>1</v>
      </c>
      <c r="P203" t="str">
        <f t="shared" si="70"/>
        <v>Pe/Le</v>
      </c>
      <c r="Q203" s="1" t="str">
        <f t="shared" si="71"/>
        <v>Leaders [2257]</v>
      </c>
      <c r="R203" s="2" t="str">
        <f t="shared" si="65"/>
        <v>&lt;li&gt;&lt;input type='checkbox'class= 'ckbx' name='2257'value='Pe/Le'&gt; _ _ Leaders [2257]&lt;/li&gt;</v>
      </c>
      <c r="T203" t="str">
        <f t="shared" si="68"/>
        <v>&amp;nbsp;&amp;nbsp;</v>
      </c>
      <c r="U203" t="str">
        <f t="shared" ref="U203:U265" si="86">IF(AA203=0,"",IF(AA203=1," _ _ ",IF(AA203=2," _ _ _ _",IF(AA203=3," _ _ _ _ _ _;",IF(AA203=4," _ _ _ _ _ _ _ _",IF(AA203=5," _ _ _ _ _ _ _ _ _ _",IF(AA203=6," _ _ _ _ _ _ _ _ _ _ _ _",IF(AA203=7," _ _ _ _ _ _ _ _ _ _ _ _ _ _"))))))))</f>
        <v xml:space="preserve"> _ _ </v>
      </c>
      <c r="V203" s="1" t="s">
        <v>192</v>
      </c>
      <c r="W203" t="str">
        <f t="shared" si="81"/>
        <v>Leaders [2257]</v>
      </c>
      <c r="X203" t="str">
        <f t="shared" si="66"/>
        <v>Le</v>
      </c>
      <c r="Y203">
        <f t="shared" si="67"/>
        <v>14</v>
      </c>
      <c r="Z203">
        <f t="shared" si="82"/>
        <v>15</v>
      </c>
      <c r="AA203">
        <f t="shared" si="80"/>
        <v>1</v>
      </c>
    </row>
    <row r="204" spans="1:27" x14ac:dyDescent="0.25">
      <c r="A204">
        <f t="shared" si="72"/>
        <v>12</v>
      </c>
      <c r="B204">
        <f t="shared" si="73"/>
        <v>14</v>
      </c>
      <c r="C204" t="str">
        <f t="shared" si="74"/>
        <v>1]</v>
      </c>
      <c r="D204">
        <f t="shared" ref="D204:D265" si="87">LEN(C204)</f>
        <v>2</v>
      </c>
      <c r="E204" t="str">
        <f t="shared" si="75"/>
        <v>1</v>
      </c>
      <c r="F204" t="str">
        <f t="shared" si="76"/>
        <v>1</v>
      </c>
      <c r="G204">
        <f t="shared" si="77"/>
        <v>9</v>
      </c>
      <c r="H204" t="s">
        <v>459</v>
      </c>
      <c r="I204" t="str">
        <f t="shared" si="83"/>
        <v/>
      </c>
      <c r="J204" t="str">
        <f t="shared" si="84"/>
        <v/>
      </c>
      <c r="K204">
        <f t="shared" si="85"/>
        <v>20</v>
      </c>
      <c r="L204" t="str">
        <f t="shared" si="69"/>
        <v>|2,Military [1]</v>
      </c>
      <c r="N204" t="str">
        <f t="shared" si="78"/>
        <v>Mi</v>
      </c>
      <c r="O204">
        <f t="shared" si="79"/>
        <v>2</v>
      </c>
      <c r="P204" t="str">
        <f t="shared" si="70"/>
        <v>Pe/Le/Mi</v>
      </c>
      <c r="Q204" s="1" t="str">
        <f t="shared" si="71"/>
        <v>Military [1]</v>
      </c>
      <c r="R204" s="2" t="str">
        <f t="shared" ref="R204:R265" si="88">"&lt;li&gt;&lt;input type='checkbox'class= 'ckbx' name='"&amp;F204&amp;"'value='"&amp;P204&amp;"'&gt;"&amp;I204&amp;U204&amp;W204&amp;J204&amp;"&lt;/li&gt;"</f>
        <v>&lt;li&gt;&lt;input type='checkbox'class= 'ckbx' name='1'value='Pe/Le/Mi'&gt; _ _ _ _Military [1]&lt;/li&gt;</v>
      </c>
      <c r="T204" t="str">
        <f t="shared" si="68"/>
        <v>&amp;nbsp;&amp;nbsp;&amp;nbsp;&amp;nbsp;</v>
      </c>
      <c r="U204" t="str">
        <f t="shared" si="86"/>
        <v xml:space="preserve"> _ _ _ _</v>
      </c>
      <c r="V204" s="1" t="s">
        <v>193</v>
      </c>
      <c r="W204" t="str">
        <f t="shared" si="81"/>
        <v>Military [1]</v>
      </c>
      <c r="X204" t="str">
        <f t="shared" ref="X204:X265" si="89">MID(W204,1,2)</f>
        <v>Mi</v>
      </c>
      <c r="Y204">
        <f t="shared" ref="Y204:Y265" si="90">LEN(W204)</f>
        <v>12</v>
      </c>
      <c r="Z204">
        <f t="shared" si="82"/>
        <v>14</v>
      </c>
      <c r="AA204">
        <f t="shared" si="80"/>
        <v>2</v>
      </c>
    </row>
    <row r="205" spans="1:27" x14ac:dyDescent="0.25">
      <c r="A205">
        <f t="shared" si="72"/>
        <v>13</v>
      </c>
      <c r="B205">
        <f t="shared" si="73"/>
        <v>16</v>
      </c>
      <c r="C205" t="str">
        <f t="shared" si="74"/>
        <v>10]</v>
      </c>
      <c r="D205">
        <f t="shared" si="87"/>
        <v>3</v>
      </c>
      <c r="E205" t="str">
        <f t="shared" si="75"/>
        <v>10</v>
      </c>
      <c r="F205" t="str">
        <f t="shared" si="76"/>
        <v>10</v>
      </c>
      <c r="G205">
        <f t="shared" si="77"/>
        <v>9</v>
      </c>
      <c r="H205" t="s">
        <v>460</v>
      </c>
      <c r="I205" t="str">
        <f t="shared" si="83"/>
        <v/>
      </c>
      <c r="J205" t="str">
        <f t="shared" si="84"/>
        <v/>
      </c>
      <c r="K205">
        <f t="shared" si="85"/>
        <v>20</v>
      </c>
      <c r="L205" t="str">
        <f t="shared" si="69"/>
        <v>|2,Political [10]</v>
      </c>
      <c r="N205" t="str">
        <f t="shared" si="78"/>
        <v>Po</v>
      </c>
      <c r="O205">
        <f t="shared" si="79"/>
        <v>2</v>
      </c>
      <c r="P205" t="str">
        <f t="shared" si="70"/>
        <v>Pe/Le/Po</v>
      </c>
      <c r="Q205" s="1" t="str">
        <f t="shared" si="71"/>
        <v>Political [10]</v>
      </c>
      <c r="R205" s="2" t="str">
        <f t="shared" si="88"/>
        <v>&lt;li&gt;&lt;input type='checkbox'class= 'ckbx' name='10'value='Pe/Le/Po'&gt; _ _ _ _Political [10]&lt;/li&gt;</v>
      </c>
      <c r="T205" t="str">
        <f t="shared" ref="T205:T265" si="91">IF(AA205=0,"",IF(AA205=1,"&amp;nbsp;&amp;nbsp;",IF(AA205=2,"&amp;nbsp;&amp;nbsp;&amp;nbsp;&amp;nbsp;",IF(AA205=3,"&amp;nbsp;&amp;nbsp;&amp;nbsp;&amp;nbsp;&amp;nbsp;&amp;nbsp;",IF(AA205=4,"&amp;nbsp;&amp;nbsp;&amp;nbsp;&amp;nbsp;&amp;nbsp;&amp;nbsp;&amp;nbsp;&amp;nbsp;",IF(AA205=5,"&amp;nbsp;&amp;nbsp;&amp;nbsp;&amp;nbsp;&amp;nbsp;&amp;nbsp;&amp;nbsp;&amp;nbsp;&amp;nbsp;&amp;nbsp;&amp;nbsp;&amp;nbsp;"))))))</f>
        <v>&amp;nbsp;&amp;nbsp;&amp;nbsp;&amp;nbsp;</v>
      </c>
      <c r="U205" t="str">
        <f t="shared" si="86"/>
        <v xml:space="preserve"> _ _ _ _</v>
      </c>
      <c r="V205" s="1" t="s">
        <v>194</v>
      </c>
      <c r="W205" t="str">
        <f t="shared" si="81"/>
        <v>Political [10]</v>
      </c>
      <c r="X205" t="str">
        <f t="shared" si="89"/>
        <v>Po</v>
      </c>
      <c r="Y205">
        <f t="shared" si="90"/>
        <v>14</v>
      </c>
      <c r="Z205">
        <f t="shared" si="82"/>
        <v>16</v>
      </c>
      <c r="AA205">
        <f t="shared" si="80"/>
        <v>2</v>
      </c>
    </row>
    <row r="206" spans="1:27" x14ac:dyDescent="0.25">
      <c r="A206">
        <f t="shared" si="72"/>
        <v>14</v>
      </c>
      <c r="B206">
        <f t="shared" si="73"/>
        <v>18</v>
      </c>
      <c r="C206" t="str">
        <f t="shared" si="74"/>
        <v>463]</v>
      </c>
      <c r="D206">
        <f t="shared" si="87"/>
        <v>4</v>
      </c>
      <c r="E206" t="str">
        <f t="shared" si="75"/>
        <v>463</v>
      </c>
      <c r="F206" t="str">
        <f t="shared" si="76"/>
        <v>463</v>
      </c>
      <c r="G206">
        <f t="shared" si="77"/>
        <v>9</v>
      </c>
      <c r="H206" t="s">
        <v>461</v>
      </c>
      <c r="I206" t="str">
        <f t="shared" si="83"/>
        <v/>
      </c>
      <c r="J206" t="str">
        <f t="shared" si="84"/>
        <v/>
      </c>
      <c r="K206">
        <f t="shared" si="85"/>
        <v>20</v>
      </c>
      <c r="L206" t="str">
        <f t="shared" si="69"/>
        <v>|2,Presidents [463]</v>
      </c>
      <c r="N206" t="str">
        <f t="shared" si="78"/>
        <v>Pr</v>
      </c>
      <c r="O206">
        <f t="shared" si="79"/>
        <v>2</v>
      </c>
      <c r="P206" t="str">
        <f t="shared" si="70"/>
        <v>Pe/Le/Pr</v>
      </c>
      <c r="Q206" s="1" t="str">
        <f t="shared" si="71"/>
        <v>Presidents [463]</v>
      </c>
      <c r="R206" s="2" t="str">
        <f t="shared" si="88"/>
        <v>&lt;li&gt;&lt;input type='checkbox'class= 'ckbx' name='463'value='Pe/Le/Pr'&gt; _ _ _ _Presidents [463]&lt;/li&gt;</v>
      </c>
      <c r="T206" t="str">
        <f t="shared" si="91"/>
        <v>&amp;nbsp;&amp;nbsp;&amp;nbsp;&amp;nbsp;</v>
      </c>
      <c r="U206" t="str">
        <f t="shared" si="86"/>
        <v xml:space="preserve"> _ _ _ _</v>
      </c>
      <c r="V206" s="1" t="s">
        <v>195</v>
      </c>
      <c r="W206" t="str">
        <f t="shared" si="81"/>
        <v>Presidents [463]</v>
      </c>
      <c r="X206" t="str">
        <f t="shared" si="89"/>
        <v>Pr</v>
      </c>
      <c r="Y206">
        <f t="shared" si="90"/>
        <v>16</v>
      </c>
      <c r="Z206">
        <f t="shared" si="82"/>
        <v>18</v>
      </c>
      <c r="AA206">
        <f t="shared" si="80"/>
        <v>2</v>
      </c>
    </row>
    <row r="207" spans="1:27" x14ac:dyDescent="0.25">
      <c r="A207">
        <f t="shared" si="72"/>
        <v>24</v>
      </c>
      <c r="B207">
        <f t="shared" si="73"/>
        <v>26</v>
      </c>
      <c r="C207" t="str">
        <f t="shared" si="74"/>
        <v>1]</v>
      </c>
      <c r="D207">
        <f t="shared" si="87"/>
        <v>2</v>
      </c>
      <c r="E207" t="str">
        <f t="shared" si="75"/>
        <v>1</v>
      </c>
      <c r="F207" t="str">
        <f t="shared" si="76"/>
        <v>1</v>
      </c>
      <c r="G207">
        <f t="shared" si="77"/>
        <v>6</v>
      </c>
      <c r="H207" t="s">
        <v>462</v>
      </c>
      <c r="I207" t="str">
        <f t="shared" si="83"/>
        <v/>
      </c>
      <c r="J207" t="str">
        <f t="shared" si="84"/>
        <v/>
      </c>
      <c r="K207">
        <f t="shared" si="85"/>
        <v>22</v>
      </c>
      <c r="L207" t="str">
        <f t="shared" si="69"/>
        <v>|1,Singers and Composers [1]</v>
      </c>
      <c r="N207" t="str">
        <f t="shared" si="78"/>
        <v>Si</v>
      </c>
      <c r="O207">
        <f t="shared" si="79"/>
        <v>1</v>
      </c>
      <c r="P207" t="str">
        <f t="shared" si="70"/>
        <v>Pe/Si</v>
      </c>
      <c r="Q207" s="1" t="str">
        <f t="shared" si="71"/>
        <v>Singers and Composers [1]</v>
      </c>
      <c r="R207" s="2" t="str">
        <f t="shared" si="88"/>
        <v>&lt;li&gt;&lt;input type='checkbox'class= 'ckbx' name='1'value='Pe/Si'&gt; _ _ Singers and Composers [1]&lt;/li&gt;</v>
      </c>
      <c r="T207" t="str">
        <f t="shared" si="91"/>
        <v>&amp;nbsp;&amp;nbsp;</v>
      </c>
      <c r="U207" t="str">
        <f t="shared" si="86"/>
        <v xml:space="preserve"> _ _ </v>
      </c>
      <c r="V207" s="1" t="s">
        <v>196</v>
      </c>
      <c r="W207" t="str">
        <f t="shared" si="81"/>
        <v>Singers and Composers [1]</v>
      </c>
      <c r="X207" t="str">
        <f t="shared" si="89"/>
        <v>Si</v>
      </c>
      <c r="Y207">
        <f t="shared" si="90"/>
        <v>25</v>
      </c>
      <c r="Z207">
        <f t="shared" si="82"/>
        <v>26</v>
      </c>
      <c r="AA207">
        <f t="shared" si="80"/>
        <v>1</v>
      </c>
    </row>
    <row r="208" spans="1:27" x14ac:dyDescent="0.25">
      <c r="A208">
        <f t="shared" si="72"/>
        <v>10</v>
      </c>
      <c r="B208">
        <f t="shared" si="73"/>
        <v>13</v>
      </c>
      <c r="C208" t="str">
        <f t="shared" si="74"/>
        <v>18]</v>
      </c>
      <c r="D208">
        <f t="shared" si="87"/>
        <v>3</v>
      </c>
      <c r="E208" t="str">
        <f t="shared" si="75"/>
        <v>18</v>
      </c>
      <c r="F208" t="str">
        <f t="shared" si="76"/>
        <v>18</v>
      </c>
      <c r="G208">
        <f t="shared" si="77"/>
        <v>6</v>
      </c>
      <c r="H208" t="s">
        <v>463</v>
      </c>
      <c r="I208" t="str">
        <f t="shared" si="83"/>
        <v/>
      </c>
      <c r="J208" t="str">
        <f t="shared" si="84"/>
        <v/>
      </c>
      <c r="K208">
        <f t="shared" si="85"/>
        <v>22</v>
      </c>
      <c r="L208" t="str">
        <f t="shared" si="69"/>
        <v>|1,Writers [18]</v>
      </c>
      <c r="N208" t="str">
        <f t="shared" si="78"/>
        <v>Wr</v>
      </c>
      <c r="O208">
        <f t="shared" si="79"/>
        <v>1</v>
      </c>
      <c r="P208" t="str">
        <f t="shared" si="70"/>
        <v>Pe/Wr</v>
      </c>
      <c r="Q208" s="1" t="str">
        <f t="shared" si="71"/>
        <v>Writers [18]</v>
      </c>
      <c r="R208" s="2" t="str">
        <f t="shared" si="88"/>
        <v>&lt;li&gt;&lt;input type='checkbox'class= 'ckbx' name='18'value='Pe/Wr'&gt; _ _ Writers [18]&lt;/li&gt;</v>
      </c>
      <c r="T208" t="str">
        <f t="shared" si="91"/>
        <v>&amp;nbsp;&amp;nbsp;</v>
      </c>
      <c r="U208" t="str">
        <f t="shared" si="86"/>
        <v xml:space="preserve"> _ _ </v>
      </c>
      <c r="V208" s="1" t="s">
        <v>197</v>
      </c>
      <c r="W208" t="str">
        <f t="shared" si="81"/>
        <v>Writers [18]</v>
      </c>
      <c r="X208" t="str">
        <f t="shared" si="89"/>
        <v>Wr</v>
      </c>
      <c r="Y208">
        <f t="shared" si="90"/>
        <v>12</v>
      </c>
      <c r="Z208">
        <f t="shared" si="82"/>
        <v>13</v>
      </c>
      <c r="AA208">
        <f t="shared" si="80"/>
        <v>1</v>
      </c>
    </row>
    <row r="209" spans="1:27" x14ac:dyDescent="0.25">
      <c r="A209">
        <f t="shared" si="72"/>
        <v>10</v>
      </c>
      <c r="B209">
        <f t="shared" si="73"/>
        <v>12</v>
      </c>
      <c r="C209" t="str">
        <f t="shared" si="74"/>
        <v>1]</v>
      </c>
      <c r="D209">
        <f t="shared" si="87"/>
        <v>2</v>
      </c>
      <c r="E209" t="str">
        <f t="shared" si="75"/>
        <v>1</v>
      </c>
      <c r="F209" t="str">
        <f t="shared" si="76"/>
        <v>1</v>
      </c>
      <c r="G209">
        <f t="shared" si="77"/>
        <v>3</v>
      </c>
      <c r="H209" t="s">
        <v>289</v>
      </c>
      <c r="I209" t="str">
        <f t="shared" si="83"/>
        <v>&lt;b&gt;</v>
      </c>
      <c r="J209" t="str">
        <f t="shared" si="84"/>
        <v>&lt;/b&gt;</v>
      </c>
      <c r="K209">
        <f t="shared" si="85"/>
        <v>24</v>
      </c>
      <c r="L209" t="str">
        <f t="shared" si="69"/>
        <v>|0,Politics [1]</v>
      </c>
      <c r="N209" t="str">
        <f t="shared" si="78"/>
        <v>Po</v>
      </c>
      <c r="O209">
        <f t="shared" si="79"/>
        <v>0</v>
      </c>
      <c r="P209" t="str">
        <f t="shared" si="70"/>
        <v>Po</v>
      </c>
      <c r="Q209" s="1" t="str">
        <f t="shared" si="71"/>
        <v>Politics [1]</v>
      </c>
      <c r="R209" s="2" t="str">
        <f t="shared" si="88"/>
        <v>&lt;li&gt;&lt;input type='checkbox'class= 'ckbx' name='1'value='Po'&gt;&lt;b&gt;Politics [1]&lt;/b&gt;&lt;/li&gt;</v>
      </c>
      <c r="T209" t="str">
        <f t="shared" si="91"/>
        <v/>
      </c>
      <c r="U209" t="str">
        <f t="shared" si="86"/>
        <v/>
      </c>
      <c r="V209" s="1" t="s">
        <v>198</v>
      </c>
      <c r="W209" t="str">
        <f t="shared" si="81"/>
        <v>Politics [1]</v>
      </c>
      <c r="X209" t="str">
        <f t="shared" si="89"/>
        <v>Po</v>
      </c>
      <c r="Y209">
        <f t="shared" si="90"/>
        <v>12</v>
      </c>
      <c r="Z209">
        <f t="shared" si="82"/>
        <v>12</v>
      </c>
      <c r="AA209">
        <f t="shared" si="80"/>
        <v>0</v>
      </c>
    </row>
    <row r="210" spans="1:27" x14ac:dyDescent="0.25">
      <c r="A210">
        <f t="shared" si="72"/>
        <v>22</v>
      </c>
      <c r="B210">
        <f t="shared" si="73"/>
        <v>27</v>
      </c>
      <c r="C210" t="str">
        <f t="shared" si="74"/>
        <v>1494]</v>
      </c>
      <c r="D210">
        <f t="shared" si="87"/>
        <v>5</v>
      </c>
      <c r="E210" t="str">
        <f t="shared" si="75"/>
        <v>1494</v>
      </c>
      <c r="F210" t="str">
        <f t="shared" si="76"/>
        <v>1494</v>
      </c>
      <c r="G210">
        <f t="shared" si="77"/>
        <v>6</v>
      </c>
      <c r="H210" t="s">
        <v>464</v>
      </c>
      <c r="I210" t="str">
        <f t="shared" si="83"/>
        <v/>
      </c>
      <c r="J210" t="str">
        <f t="shared" si="84"/>
        <v/>
      </c>
      <c r="K210">
        <f t="shared" si="85"/>
        <v>22</v>
      </c>
      <c r="L210" t="str">
        <f t="shared" si="69"/>
        <v>|1,American Presidents [1494]</v>
      </c>
      <c r="N210" t="str">
        <f t="shared" si="78"/>
        <v>Am</v>
      </c>
      <c r="O210">
        <f t="shared" si="79"/>
        <v>1</v>
      </c>
      <c r="P210" t="str">
        <f t="shared" si="70"/>
        <v>Po/Am</v>
      </c>
      <c r="Q210" s="1" t="str">
        <f t="shared" si="71"/>
        <v>American Presidents [1494]</v>
      </c>
      <c r="R210" s="2" t="str">
        <f t="shared" si="88"/>
        <v>&lt;li&gt;&lt;input type='checkbox'class= 'ckbx' name='1494'value='Po/Am'&gt; _ _ American Presidents [1494]&lt;/li&gt;</v>
      </c>
      <c r="T210" t="str">
        <f t="shared" si="91"/>
        <v>&amp;nbsp;&amp;nbsp;</v>
      </c>
      <c r="U210" t="str">
        <f t="shared" si="86"/>
        <v xml:space="preserve"> _ _ </v>
      </c>
      <c r="V210" s="1" t="s">
        <v>199</v>
      </c>
      <c r="W210" t="str">
        <f t="shared" si="81"/>
        <v>American Presidents [1494]</v>
      </c>
      <c r="X210" t="str">
        <f t="shared" si="89"/>
        <v>Am</v>
      </c>
      <c r="Y210">
        <f t="shared" si="90"/>
        <v>26</v>
      </c>
      <c r="Z210">
        <f t="shared" si="82"/>
        <v>27</v>
      </c>
      <c r="AA210">
        <f t="shared" si="80"/>
        <v>1</v>
      </c>
    </row>
    <row r="211" spans="1:27" x14ac:dyDescent="0.25">
      <c r="A211">
        <f t="shared" si="72"/>
        <v>19</v>
      </c>
      <c r="B211">
        <f t="shared" si="73"/>
        <v>22</v>
      </c>
      <c r="C211" t="str">
        <f t="shared" si="74"/>
        <v>45]</v>
      </c>
      <c r="D211">
        <f t="shared" si="87"/>
        <v>3</v>
      </c>
      <c r="E211" t="str">
        <f t="shared" si="75"/>
        <v>45</v>
      </c>
      <c r="F211" t="str">
        <f t="shared" si="76"/>
        <v>45</v>
      </c>
      <c r="G211">
        <f t="shared" si="77"/>
        <v>6</v>
      </c>
      <c r="H211" t="s">
        <v>465</v>
      </c>
      <c r="I211" t="str">
        <f t="shared" si="83"/>
        <v/>
      </c>
      <c r="J211" t="str">
        <f t="shared" si="84"/>
        <v/>
      </c>
      <c r="K211">
        <f t="shared" si="85"/>
        <v>22</v>
      </c>
      <c r="L211" t="str">
        <f t="shared" si="69"/>
        <v>|1,Constitution-The [45]</v>
      </c>
      <c r="N211" t="str">
        <f t="shared" si="78"/>
        <v>Co</v>
      </c>
      <c r="O211">
        <f t="shared" si="79"/>
        <v>1</v>
      </c>
      <c r="P211" t="str">
        <f t="shared" si="70"/>
        <v>Po/Co</v>
      </c>
      <c r="Q211" s="1" t="str">
        <f t="shared" si="71"/>
        <v>Constitution-The [45]</v>
      </c>
      <c r="R211" s="2" t="str">
        <f t="shared" si="88"/>
        <v>&lt;li&gt;&lt;input type='checkbox'class= 'ckbx' name='45'value='Po/Co'&gt; _ _ Constitution-The [45]&lt;/li&gt;</v>
      </c>
      <c r="T211" t="str">
        <f t="shared" si="91"/>
        <v>&amp;nbsp;&amp;nbsp;</v>
      </c>
      <c r="U211" t="str">
        <f t="shared" si="86"/>
        <v xml:space="preserve"> _ _ </v>
      </c>
      <c r="V211" s="1" t="s">
        <v>200</v>
      </c>
      <c r="W211" t="str">
        <f t="shared" si="81"/>
        <v>Constitution-The [45]</v>
      </c>
      <c r="X211" t="str">
        <f t="shared" si="89"/>
        <v>Co</v>
      </c>
      <c r="Y211">
        <f t="shared" si="90"/>
        <v>21</v>
      </c>
      <c r="Z211">
        <f t="shared" si="82"/>
        <v>22</v>
      </c>
      <c r="AA211">
        <f t="shared" si="80"/>
        <v>1</v>
      </c>
    </row>
    <row r="212" spans="1:27" x14ac:dyDescent="0.25">
      <c r="A212">
        <f t="shared" si="72"/>
        <v>12</v>
      </c>
      <c r="B212">
        <f t="shared" si="73"/>
        <v>14</v>
      </c>
      <c r="C212" t="str">
        <f t="shared" si="74"/>
        <v>7]</v>
      </c>
      <c r="D212">
        <f t="shared" si="87"/>
        <v>2</v>
      </c>
      <c r="E212" t="str">
        <f t="shared" si="75"/>
        <v>7</v>
      </c>
      <c r="F212" t="str">
        <f t="shared" si="76"/>
        <v>7</v>
      </c>
      <c r="G212">
        <f t="shared" si="77"/>
        <v>6</v>
      </c>
      <c r="H212" t="s">
        <v>466</v>
      </c>
      <c r="I212" t="str">
        <f t="shared" si="83"/>
        <v/>
      </c>
      <c r="J212" t="str">
        <f t="shared" si="84"/>
        <v/>
      </c>
      <c r="K212">
        <f t="shared" si="85"/>
        <v>22</v>
      </c>
      <c r="L212" t="str">
        <f t="shared" si="69"/>
        <v>|1,Elections [7]</v>
      </c>
      <c r="N212" t="str">
        <f t="shared" si="78"/>
        <v>El</v>
      </c>
      <c r="O212">
        <f t="shared" si="79"/>
        <v>1</v>
      </c>
      <c r="P212" t="str">
        <f t="shared" si="70"/>
        <v>Po/El</v>
      </c>
      <c r="Q212" s="1" t="str">
        <f t="shared" si="71"/>
        <v>Elections [7]</v>
      </c>
      <c r="R212" s="2" t="str">
        <f t="shared" si="88"/>
        <v>&lt;li&gt;&lt;input type='checkbox'class= 'ckbx' name='7'value='Po/El'&gt; _ _ Elections [7]&lt;/li&gt;</v>
      </c>
      <c r="T212" t="str">
        <f t="shared" si="91"/>
        <v>&amp;nbsp;&amp;nbsp;</v>
      </c>
      <c r="U212" t="str">
        <f t="shared" si="86"/>
        <v xml:space="preserve"> _ _ </v>
      </c>
      <c r="V212" s="1" t="s">
        <v>201</v>
      </c>
      <c r="W212" t="str">
        <f t="shared" si="81"/>
        <v>Elections [7]</v>
      </c>
      <c r="X212" t="str">
        <f t="shared" si="89"/>
        <v>El</v>
      </c>
      <c r="Y212">
        <f t="shared" si="90"/>
        <v>13</v>
      </c>
      <c r="Z212">
        <f t="shared" si="82"/>
        <v>14</v>
      </c>
      <c r="AA212">
        <f t="shared" si="80"/>
        <v>1</v>
      </c>
    </row>
    <row r="213" spans="1:27" x14ac:dyDescent="0.25">
      <c r="A213">
        <f t="shared" si="72"/>
        <v>14</v>
      </c>
      <c r="B213">
        <f t="shared" si="73"/>
        <v>18</v>
      </c>
      <c r="C213" t="str">
        <f t="shared" si="74"/>
        <v>101]</v>
      </c>
      <c r="D213">
        <f t="shared" si="87"/>
        <v>4</v>
      </c>
      <c r="E213" t="str">
        <f t="shared" si="75"/>
        <v>101</v>
      </c>
      <c r="F213" t="str">
        <f t="shared" si="76"/>
        <v>101</v>
      </c>
      <c r="G213">
        <f t="shared" si="77"/>
        <v>6</v>
      </c>
      <c r="H213" t="s">
        <v>467</v>
      </c>
      <c r="I213" t="str">
        <f t="shared" si="83"/>
        <v/>
      </c>
      <c r="J213" t="str">
        <f t="shared" si="84"/>
        <v/>
      </c>
      <c r="K213">
        <f t="shared" si="85"/>
        <v>22</v>
      </c>
      <c r="L213" t="str">
        <f t="shared" si="69"/>
        <v>|1,Law &amp; Order [101]</v>
      </c>
      <c r="N213" t="str">
        <f t="shared" si="78"/>
        <v>La</v>
      </c>
      <c r="O213">
        <f t="shared" si="79"/>
        <v>1</v>
      </c>
      <c r="P213" t="str">
        <f t="shared" si="70"/>
        <v>Po/La</v>
      </c>
      <c r="Q213" s="1" t="str">
        <f t="shared" si="71"/>
        <v>Law &amp; Order [101]</v>
      </c>
      <c r="R213" s="2" t="str">
        <f t="shared" si="88"/>
        <v>&lt;li&gt;&lt;input type='checkbox'class= 'ckbx' name='101'value='Po/La'&gt; _ _ Law &amp; Order [101]&lt;/li&gt;</v>
      </c>
      <c r="T213" t="str">
        <f t="shared" si="91"/>
        <v>&amp;nbsp;&amp;nbsp;</v>
      </c>
      <c r="U213" t="str">
        <f t="shared" si="86"/>
        <v xml:space="preserve"> _ _ </v>
      </c>
      <c r="V213" s="1" t="s">
        <v>202</v>
      </c>
      <c r="W213" t="str">
        <f t="shared" si="81"/>
        <v>Law &amp; Order [101]</v>
      </c>
      <c r="X213" t="str">
        <f t="shared" si="89"/>
        <v>La</v>
      </c>
      <c r="Y213">
        <f t="shared" si="90"/>
        <v>17</v>
      </c>
      <c r="Z213">
        <f t="shared" si="82"/>
        <v>18</v>
      </c>
      <c r="AA213">
        <f t="shared" si="80"/>
        <v>1</v>
      </c>
    </row>
    <row r="214" spans="1:27" x14ac:dyDescent="0.25">
      <c r="A214">
        <f t="shared" si="72"/>
        <v>10</v>
      </c>
      <c r="B214">
        <f t="shared" si="73"/>
        <v>14</v>
      </c>
      <c r="C214" t="str">
        <f t="shared" si="74"/>
        <v>129]</v>
      </c>
      <c r="D214">
        <f t="shared" si="87"/>
        <v>4</v>
      </c>
      <c r="E214" t="str">
        <f t="shared" si="75"/>
        <v>129</v>
      </c>
      <c r="F214" t="str">
        <f t="shared" si="76"/>
        <v>129</v>
      </c>
      <c r="G214">
        <f t="shared" si="77"/>
        <v>6</v>
      </c>
      <c r="H214" t="s">
        <v>468</v>
      </c>
      <c r="I214" t="str">
        <f t="shared" si="83"/>
        <v/>
      </c>
      <c r="J214" t="str">
        <f t="shared" si="84"/>
        <v/>
      </c>
      <c r="K214">
        <f t="shared" si="85"/>
        <v>22</v>
      </c>
      <c r="L214" t="str">
        <f t="shared" si="69"/>
        <v>|1,Leaders [129]</v>
      </c>
      <c r="N214" t="str">
        <f t="shared" si="78"/>
        <v>Le</v>
      </c>
      <c r="O214">
        <f t="shared" si="79"/>
        <v>1</v>
      </c>
      <c r="P214" t="str">
        <f t="shared" si="70"/>
        <v>Po/Le</v>
      </c>
      <c r="Q214" s="1" t="str">
        <f t="shared" si="71"/>
        <v>Leaders [129]</v>
      </c>
      <c r="R214" s="2" t="str">
        <f t="shared" si="88"/>
        <v>&lt;li&gt;&lt;input type='checkbox'class= 'ckbx' name='129'value='Po/Le'&gt; _ _ Leaders [129]&lt;/li&gt;</v>
      </c>
      <c r="T214" t="str">
        <f t="shared" si="91"/>
        <v>&amp;nbsp;&amp;nbsp;</v>
      </c>
      <c r="U214" t="str">
        <f t="shared" si="86"/>
        <v xml:space="preserve"> _ _ </v>
      </c>
      <c r="V214" s="1" t="s">
        <v>203</v>
      </c>
      <c r="W214" t="str">
        <f t="shared" si="81"/>
        <v>Leaders [129]</v>
      </c>
      <c r="X214" t="str">
        <f t="shared" si="89"/>
        <v>Le</v>
      </c>
      <c r="Y214">
        <f t="shared" si="90"/>
        <v>13</v>
      </c>
      <c r="Z214">
        <f t="shared" si="82"/>
        <v>14</v>
      </c>
      <c r="AA214">
        <f t="shared" si="80"/>
        <v>1</v>
      </c>
    </row>
    <row r="215" spans="1:27" x14ac:dyDescent="0.25">
      <c r="A215">
        <f t="shared" si="72"/>
        <v>20</v>
      </c>
      <c r="B215">
        <f t="shared" si="73"/>
        <v>24</v>
      </c>
      <c r="C215" t="str">
        <f t="shared" si="74"/>
        <v>228]</v>
      </c>
      <c r="D215">
        <f t="shared" si="87"/>
        <v>4</v>
      </c>
      <c r="E215" t="str">
        <f t="shared" si="75"/>
        <v>228</v>
      </c>
      <c r="F215" t="str">
        <f t="shared" si="76"/>
        <v>228</v>
      </c>
      <c r="G215">
        <f t="shared" si="77"/>
        <v>6</v>
      </c>
      <c r="H215" t="s">
        <v>469</v>
      </c>
      <c r="I215" t="str">
        <f t="shared" si="83"/>
        <v/>
      </c>
      <c r="J215" t="str">
        <f t="shared" si="84"/>
        <v/>
      </c>
      <c r="K215">
        <f t="shared" si="85"/>
        <v>22</v>
      </c>
      <c r="L215" t="str">
        <f t="shared" si="69"/>
        <v>|1,Political Parties [228]</v>
      </c>
      <c r="N215" t="str">
        <f t="shared" si="78"/>
        <v>Po</v>
      </c>
      <c r="O215">
        <f t="shared" si="79"/>
        <v>1</v>
      </c>
      <c r="P215" t="str">
        <f t="shared" si="70"/>
        <v>Po/Po</v>
      </c>
      <c r="Q215" s="1" t="str">
        <f t="shared" si="71"/>
        <v>Political Parties [228]</v>
      </c>
      <c r="R215" s="2" t="str">
        <f t="shared" si="88"/>
        <v>&lt;li&gt;&lt;input type='checkbox'class= 'ckbx' name='228'value='Po/Po'&gt; _ _ Political Parties [228]&lt;/li&gt;</v>
      </c>
      <c r="T215" t="str">
        <f t="shared" si="91"/>
        <v>&amp;nbsp;&amp;nbsp;</v>
      </c>
      <c r="U215" t="str">
        <f t="shared" si="86"/>
        <v xml:space="preserve"> _ _ </v>
      </c>
      <c r="V215" s="1" t="s">
        <v>204</v>
      </c>
      <c r="W215" t="str">
        <f t="shared" si="81"/>
        <v>Political Parties [228]</v>
      </c>
      <c r="X215" t="str">
        <f t="shared" si="89"/>
        <v>Po</v>
      </c>
      <c r="Y215">
        <f t="shared" si="90"/>
        <v>23</v>
      </c>
      <c r="Z215">
        <f t="shared" si="82"/>
        <v>24</v>
      </c>
      <c r="AA215">
        <f t="shared" si="80"/>
        <v>1</v>
      </c>
    </row>
    <row r="216" spans="1:27" x14ac:dyDescent="0.25">
      <c r="A216">
        <f t="shared" si="72"/>
        <v>16</v>
      </c>
      <c r="B216">
        <f t="shared" si="73"/>
        <v>19</v>
      </c>
      <c r="C216" t="str">
        <f t="shared" si="74"/>
        <v>95]</v>
      </c>
      <c r="D216">
        <f t="shared" si="87"/>
        <v>3</v>
      </c>
      <c r="E216" t="str">
        <f t="shared" si="75"/>
        <v>95</v>
      </c>
      <c r="F216" t="str">
        <f t="shared" si="76"/>
        <v>95</v>
      </c>
      <c r="G216">
        <f t="shared" si="77"/>
        <v>6</v>
      </c>
      <c r="H216" t="s">
        <v>470</v>
      </c>
      <c r="I216" t="str">
        <f t="shared" si="83"/>
        <v/>
      </c>
      <c r="J216" t="str">
        <f t="shared" si="84"/>
        <v/>
      </c>
      <c r="K216">
        <f t="shared" si="85"/>
        <v>22</v>
      </c>
      <c r="L216" t="str">
        <f t="shared" ref="L216:L265" si="92">"|"&amp;O216&amp;","&amp;W216</f>
        <v>|1,US Government [95]</v>
      </c>
      <c r="N216" t="str">
        <f t="shared" si="78"/>
        <v>US</v>
      </c>
      <c r="O216">
        <f t="shared" si="79"/>
        <v>1</v>
      </c>
      <c r="P216" t="str">
        <f t="shared" ref="P216:P265" si="93">MID(H216,1,G216-1)</f>
        <v>Po/US</v>
      </c>
      <c r="Q216" s="1" t="str">
        <f t="shared" ref="Q216:Q265" si="94">W216</f>
        <v>US Government [95]</v>
      </c>
      <c r="R216" s="2" t="str">
        <f t="shared" si="88"/>
        <v>&lt;li&gt;&lt;input type='checkbox'class= 'ckbx' name='95'value='Po/US'&gt; _ _ US Government [95]&lt;/li&gt;</v>
      </c>
      <c r="T216" t="str">
        <f t="shared" si="91"/>
        <v>&amp;nbsp;&amp;nbsp;</v>
      </c>
      <c r="U216" t="str">
        <f t="shared" si="86"/>
        <v xml:space="preserve"> _ _ </v>
      </c>
      <c r="V216" s="1" t="s">
        <v>205</v>
      </c>
      <c r="W216" t="str">
        <f t="shared" si="81"/>
        <v>US Government [95]</v>
      </c>
      <c r="X216" t="str">
        <f t="shared" si="89"/>
        <v>US</v>
      </c>
      <c r="Y216">
        <f t="shared" si="90"/>
        <v>18</v>
      </c>
      <c r="Z216">
        <f t="shared" si="82"/>
        <v>19</v>
      </c>
      <c r="AA216">
        <f t="shared" si="80"/>
        <v>1</v>
      </c>
    </row>
    <row r="217" spans="1:27" x14ac:dyDescent="0.25">
      <c r="A217" t="e">
        <f t="shared" ref="A217:A265" si="95">FIND("[",V217)</f>
        <v>#VALUE!</v>
      </c>
      <c r="B217" t="e">
        <f t="shared" ref="B217:B265" si="96">FIND("]",V217)</f>
        <v>#VALUE!</v>
      </c>
      <c r="C217" t="e">
        <f t="shared" ref="C217:C265" si="97">MID(V217,A217+1,9)</f>
        <v>#VALUE!</v>
      </c>
      <c r="D217" t="e">
        <f t="shared" si="87"/>
        <v>#VALUE!</v>
      </c>
      <c r="E217" t="e">
        <f t="shared" ref="E217:E265" si="98">MID(C217,1,D217-1)</f>
        <v>#VALUE!</v>
      </c>
      <c r="F217">
        <f t="shared" ref="F217:F265" si="99">IF(ISERROR(D217),0,E217)</f>
        <v>0</v>
      </c>
      <c r="G217">
        <f t="shared" ref="G217:G265" si="100">FIND(",",H217)</f>
        <v>6</v>
      </c>
      <c r="H217" t="s">
        <v>471</v>
      </c>
      <c r="I217" t="str">
        <f t="shared" si="83"/>
        <v/>
      </c>
      <c r="J217" t="str">
        <f t="shared" si="84"/>
        <v/>
      </c>
      <c r="K217">
        <f t="shared" si="85"/>
        <v>22</v>
      </c>
      <c r="L217" t="str">
        <f t="shared" si="92"/>
        <v>|1,World Politics</v>
      </c>
      <c r="N217" t="str">
        <f t="shared" ref="N217:N265" si="101">MID(W217,1,2)</f>
        <v>Wo</v>
      </c>
      <c r="O217">
        <f t="shared" ref="O217:O265" si="102">Z217-Y217</f>
        <v>1</v>
      </c>
      <c r="P217" t="str">
        <f t="shared" si="93"/>
        <v>Po/Wo</v>
      </c>
      <c r="Q217" s="1" t="str">
        <f t="shared" si="94"/>
        <v>World Politics</v>
      </c>
      <c r="R217" s="2" t="str">
        <f t="shared" si="88"/>
        <v>&lt;li&gt;&lt;input type='checkbox'class= 'ckbx' name='0'value='Po/Wo'&gt; _ _ World Politics&lt;/li&gt;</v>
      </c>
      <c r="T217" t="str">
        <f t="shared" si="91"/>
        <v>&amp;nbsp;&amp;nbsp;</v>
      </c>
      <c r="U217" t="str">
        <f t="shared" si="86"/>
        <v xml:space="preserve"> _ _ </v>
      </c>
      <c r="V217" s="1" t="s">
        <v>206</v>
      </c>
      <c r="W217" t="str">
        <f t="shared" si="81"/>
        <v>World Politics</v>
      </c>
      <c r="X217" t="str">
        <f t="shared" si="89"/>
        <v>Wo</v>
      </c>
      <c r="Y217">
        <f t="shared" si="90"/>
        <v>14</v>
      </c>
      <c r="Z217">
        <f t="shared" si="82"/>
        <v>15</v>
      </c>
      <c r="AA217">
        <f t="shared" si="80"/>
        <v>1</v>
      </c>
    </row>
    <row r="218" spans="1:27" x14ac:dyDescent="0.25">
      <c r="A218">
        <f t="shared" si="95"/>
        <v>15</v>
      </c>
      <c r="B218">
        <f t="shared" si="96"/>
        <v>17</v>
      </c>
      <c r="C218" t="str">
        <f t="shared" si="97"/>
        <v>1]</v>
      </c>
      <c r="D218">
        <f t="shared" si="87"/>
        <v>2</v>
      </c>
      <c r="E218" t="str">
        <f t="shared" si="98"/>
        <v>1</v>
      </c>
      <c r="F218" t="str">
        <f t="shared" si="99"/>
        <v>1</v>
      </c>
      <c r="G218">
        <f t="shared" si="100"/>
        <v>9</v>
      </c>
      <c r="H218" t="s">
        <v>472</v>
      </c>
      <c r="I218" t="str">
        <f t="shared" si="83"/>
        <v/>
      </c>
      <c r="J218" t="str">
        <f t="shared" si="84"/>
        <v/>
      </c>
      <c r="K218">
        <f t="shared" si="85"/>
        <v>20</v>
      </c>
      <c r="L218" t="str">
        <f t="shared" si="92"/>
        <v>|2,Conferences [1]</v>
      </c>
      <c r="N218" t="str">
        <f t="shared" si="101"/>
        <v>Co</v>
      </c>
      <c r="O218">
        <f t="shared" si="102"/>
        <v>2</v>
      </c>
      <c r="P218" t="str">
        <f t="shared" si="93"/>
        <v>Po/Wo/Co</v>
      </c>
      <c r="Q218" s="1" t="str">
        <f t="shared" si="94"/>
        <v>Conferences [1]</v>
      </c>
      <c r="R218" s="2" t="str">
        <f t="shared" si="88"/>
        <v>&lt;li&gt;&lt;input type='checkbox'class= 'ckbx' name='1'value='Po/Wo/Co'&gt; _ _ _ _Conferences [1]&lt;/li&gt;</v>
      </c>
      <c r="T218" t="str">
        <f t="shared" si="91"/>
        <v>&amp;nbsp;&amp;nbsp;&amp;nbsp;&amp;nbsp;</v>
      </c>
      <c r="U218" t="str">
        <f t="shared" si="86"/>
        <v xml:space="preserve"> _ _ _ _</v>
      </c>
      <c r="V218" s="1" t="s">
        <v>207</v>
      </c>
      <c r="W218" t="str">
        <f t="shared" si="81"/>
        <v>Conferences [1]</v>
      </c>
      <c r="X218" t="str">
        <f t="shared" si="89"/>
        <v>Co</v>
      </c>
      <c r="Y218">
        <f t="shared" si="90"/>
        <v>15</v>
      </c>
      <c r="Z218">
        <f t="shared" si="82"/>
        <v>17</v>
      </c>
      <c r="AA218">
        <f t="shared" si="80"/>
        <v>2</v>
      </c>
    </row>
    <row r="219" spans="1:27" x14ac:dyDescent="0.25">
      <c r="A219">
        <f t="shared" si="95"/>
        <v>11</v>
      </c>
      <c r="B219">
        <f t="shared" si="96"/>
        <v>13</v>
      </c>
      <c r="C219" t="str">
        <f t="shared" si="97"/>
        <v>2]</v>
      </c>
      <c r="D219">
        <f t="shared" si="87"/>
        <v>2</v>
      </c>
      <c r="E219" t="str">
        <f t="shared" si="98"/>
        <v>2</v>
      </c>
      <c r="F219" t="str">
        <f t="shared" si="99"/>
        <v>2</v>
      </c>
      <c r="G219">
        <f t="shared" si="100"/>
        <v>9</v>
      </c>
      <c r="H219" t="s">
        <v>473</v>
      </c>
      <c r="I219" t="str">
        <f t="shared" si="83"/>
        <v/>
      </c>
      <c r="J219" t="str">
        <f t="shared" si="84"/>
        <v/>
      </c>
      <c r="K219">
        <f t="shared" si="85"/>
        <v>20</v>
      </c>
      <c r="L219" t="str">
        <f t="shared" si="92"/>
        <v>|2,Treatys [2]</v>
      </c>
      <c r="N219" t="str">
        <f t="shared" si="101"/>
        <v>Tr</v>
      </c>
      <c r="O219">
        <f t="shared" si="102"/>
        <v>2</v>
      </c>
      <c r="P219" t="str">
        <f t="shared" si="93"/>
        <v>Po/Wo/Tr</v>
      </c>
      <c r="Q219" s="1" t="str">
        <f t="shared" si="94"/>
        <v>Treatys [2]</v>
      </c>
      <c r="R219" s="2" t="str">
        <f t="shared" si="88"/>
        <v>&lt;li&gt;&lt;input type='checkbox'class= 'ckbx' name='2'value='Po/Wo/Tr'&gt; _ _ _ _Treatys [2]&lt;/li&gt;</v>
      </c>
      <c r="T219" t="str">
        <f t="shared" si="91"/>
        <v>&amp;nbsp;&amp;nbsp;&amp;nbsp;&amp;nbsp;</v>
      </c>
      <c r="U219" t="str">
        <f t="shared" si="86"/>
        <v xml:space="preserve"> _ _ _ _</v>
      </c>
      <c r="V219" s="1" t="s">
        <v>208</v>
      </c>
      <c r="W219" t="str">
        <f t="shared" si="81"/>
        <v>Treatys [2]</v>
      </c>
      <c r="X219" t="str">
        <f t="shared" si="89"/>
        <v>Tr</v>
      </c>
      <c r="Y219">
        <f t="shared" si="90"/>
        <v>11</v>
      </c>
      <c r="Z219">
        <f t="shared" si="82"/>
        <v>13</v>
      </c>
      <c r="AA219">
        <f t="shared" si="80"/>
        <v>2</v>
      </c>
    </row>
    <row r="220" spans="1:27" x14ac:dyDescent="0.25">
      <c r="A220">
        <f t="shared" si="95"/>
        <v>23</v>
      </c>
      <c r="B220">
        <f t="shared" si="96"/>
        <v>26</v>
      </c>
      <c r="C220" t="str">
        <f t="shared" si="97"/>
        <v>15]</v>
      </c>
      <c r="D220">
        <f t="shared" si="87"/>
        <v>3</v>
      </c>
      <c r="E220" t="str">
        <f t="shared" si="98"/>
        <v>15</v>
      </c>
      <c r="F220" t="str">
        <f t="shared" si="99"/>
        <v>15</v>
      </c>
      <c r="G220">
        <f t="shared" si="100"/>
        <v>3</v>
      </c>
      <c r="H220" t="s">
        <v>290</v>
      </c>
      <c r="I220" t="str">
        <f t="shared" si="83"/>
        <v>&lt;b&gt;</v>
      </c>
      <c r="J220" t="str">
        <f t="shared" si="84"/>
        <v>&lt;/b&gt;</v>
      </c>
      <c r="K220">
        <f t="shared" si="85"/>
        <v>24</v>
      </c>
      <c r="L220" t="str">
        <f t="shared" si="92"/>
        <v>|0,Religion &amp; Philosophy [15]</v>
      </c>
      <c r="N220" t="str">
        <f t="shared" si="101"/>
        <v>Re</v>
      </c>
      <c r="O220">
        <f t="shared" si="102"/>
        <v>0</v>
      </c>
      <c r="P220" t="str">
        <f t="shared" si="93"/>
        <v>Re</v>
      </c>
      <c r="Q220" s="1" t="str">
        <f t="shared" si="94"/>
        <v>Religion &amp; Philosophy [15]</v>
      </c>
      <c r="R220" s="2" t="str">
        <f t="shared" si="88"/>
        <v>&lt;li&gt;&lt;input type='checkbox'class= 'ckbx' name='15'value='Re'&gt;&lt;b&gt;Religion &amp; Philosophy [15]&lt;/b&gt;&lt;/li&gt;</v>
      </c>
      <c r="T220" t="str">
        <f t="shared" si="91"/>
        <v/>
      </c>
      <c r="U220" t="str">
        <f t="shared" si="86"/>
        <v/>
      </c>
      <c r="V220" s="1" t="s">
        <v>209</v>
      </c>
      <c r="W220" t="str">
        <f t="shared" si="81"/>
        <v>Religion &amp; Philosophy [15]</v>
      </c>
      <c r="X220" t="str">
        <f t="shared" si="89"/>
        <v>Re</v>
      </c>
      <c r="Y220">
        <f t="shared" si="90"/>
        <v>26</v>
      </c>
      <c r="Z220">
        <f t="shared" si="82"/>
        <v>26</v>
      </c>
      <c r="AA220">
        <f t="shared" si="80"/>
        <v>0</v>
      </c>
    </row>
    <row r="221" spans="1:27" x14ac:dyDescent="0.25">
      <c r="A221">
        <f t="shared" si="95"/>
        <v>12</v>
      </c>
      <c r="B221">
        <f t="shared" si="96"/>
        <v>16</v>
      </c>
      <c r="C221" t="str">
        <f t="shared" si="97"/>
        <v>429]</v>
      </c>
      <c r="D221">
        <f t="shared" si="87"/>
        <v>4</v>
      </c>
      <c r="E221" t="str">
        <f t="shared" si="98"/>
        <v>429</v>
      </c>
      <c r="F221" t="str">
        <f t="shared" si="99"/>
        <v>429</v>
      </c>
      <c r="G221">
        <f t="shared" si="100"/>
        <v>6</v>
      </c>
      <c r="H221" t="s">
        <v>474</v>
      </c>
      <c r="I221" t="str">
        <f t="shared" si="83"/>
        <v/>
      </c>
      <c r="J221" t="str">
        <f t="shared" si="84"/>
        <v/>
      </c>
      <c r="K221">
        <f t="shared" si="85"/>
        <v>22</v>
      </c>
      <c r="L221" t="str">
        <f t="shared" si="92"/>
        <v>|1,Bible-The [429]</v>
      </c>
      <c r="N221" t="str">
        <f t="shared" si="101"/>
        <v>Bi</v>
      </c>
      <c r="O221">
        <f t="shared" si="102"/>
        <v>1</v>
      </c>
      <c r="P221" t="str">
        <f t="shared" si="93"/>
        <v>Re/Bi</v>
      </c>
      <c r="Q221" s="1" t="str">
        <f t="shared" si="94"/>
        <v>Bible-The [429]</v>
      </c>
      <c r="R221" s="2" t="str">
        <f t="shared" si="88"/>
        <v>&lt;li&gt;&lt;input type='checkbox'class= 'ckbx' name='429'value='Re/Bi'&gt; _ _ Bible-The [429]&lt;/li&gt;</v>
      </c>
      <c r="T221" t="str">
        <f t="shared" si="91"/>
        <v>&amp;nbsp;&amp;nbsp;</v>
      </c>
      <c r="U221" t="str">
        <f t="shared" si="86"/>
        <v xml:space="preserve"> _ _ </v>
      </c>
      <c r="V221" s="1" t="s">
        <v>210</v>
      </c>
      <c r="W221" t="str">
        <f t="shared" si="81"/>
        <v>Bible-The [429]</v>
      </c>
      <c r="X221" t="str">
        <f t="shared" si="89"/>
        <v>Bi</v>
      </c>
      <c r="Y221">
        <f t="shared" si="90"/>
        <v>15</v>
      </c>
      <c r="Z221">
        <f t="shared" si="82"/>
        <v>16</v>
      </c>
      <c r="AA221">
        <f t="shared" si="80"/>
        <v>1</v>
      </c>
    </row>
    <row r="222" spans="1:27" x14ac:dyDescent="0.25">
      <c r="A222">
        <f t="shared" si="95"/>
        <v>20</v>
      </c>
      <c r="B222">
        <f t="shared" si="96"/>
        <v>23</v>
      </c>
      <c r="C222" t="str">
        <f t="shared" si="97"/>
        <v>74]</v>
      </c>
      <c r="D222">
        <f t="shared" si="87"/>
        <v>3</v>
      </c>
      <c r="E222" t="str">
        <f t="shared" si="98"/>
        <v>74</v>
      </c>
      <c r="F222" t="str">
        <f t="shared" si="99"/>
        <v>74</v>
      </c>
      <c r="G222">
        <f t="shared" si="100"/>
        <v>9</v>
      </c>
      <c r="H222" t="s">
        <v>475</v>
      </c>
      <c r="I222" t="str">
        <f t="shared" si="83"/>
        <v/>
      </c>
      <c r="J222" t="str">
        <f t="shared" si="84"/>
        <v/>
      </c>
      <c r="K222">
        <f t="shared" si="85"/>
        <v>20</v>
      </c>
      <c r="L222" t="str">
        <f t="shared" si="92"/>
        <v>|2,NT-New Testament [74]</v>
      </c>
      <c r="N222" t="str">
        <f t="shared" si="101"/>
        <v>NT</v>
      </c>
      <c r="O222">
        <f t="shared" si="102"/>
        <v>2</v>
      </c>
      <c r="P222" t="str">
        <f t="shared" si="93"/>
        <v>Re/Bi/NT</v>
      </c>
      <c r="Q222" s="1" t="str">
        <f t="shared" si="94"/>
        <v>NT-New Testament [74]</v>
      </c>
      <c r="R222" s="2" t="str">
        <f t="shared" si="88"/>
        <v>&lt;li&gt;&lt;input type='checkbox'class= 'ckbx' name='74'value='Re/Bi/NT'&gt; _ _ _ _NT-New Testament [74]&lt;/li&gt;</v>
      </c>
      <c r="T222" t="str">
        <f t="shared" si="91"/>
        <v>&amp;nbsp;&amp;nbsp;&amp;nbsp;&amp;nbsp;</v>
      </c>
      <c r="U222" t="str">
        <f t="shared" si="86"/>
        <v xml:space="preserve"> _ _ _ _</v>
      </c>
      <c r="V222" s="1" t="s">
        <v>211</v>
      </c>
      <c r="W222" t="str">
        <f t="shared" si="81"/>
        <v>NT-New Testament [74]</v>
      </c>
      <c r="X222" t="str">
        <f t="shared" si="89"/>
        <v>NT</v>
      </c>
      <c r="Y222">
        <f t="shared" si="90"/>
        <v>21</v>
      </c>
      <c r="Z222">
        <f t="shared" si="82"/>
        <v>23</v>
      </c>
      <c r="AA222">
        <f t="shared" si="80"/>
        <v>2</v>
      </c>
    </row>
    <row r="223" spans="1:27" x14ac:dyDescent="0.25">
      <c r="A223">
        <f t="shared" si="95"/>
        <v>20</v>
      </c>
      <c r="B223">
        <f t="shared" si="96"/>
        <v>24</v>
      </c>
      <c r="C223" t="str">
        <f t="shared" si="97"/>
        <v>130]</v>
      </c>
      <c r="D223">
        <f t="shared" si="87"/>
        <v>4</v>
      </c>
      <c r="E223" t="str">
        <f t="shared" si="98"/>
        <v>130</v>
      </c>
      <c r="F223" t="str">
        <f t="shared" si="99"/>
        <v>130</v>
      </c>
      <c r="G223">
        <f t="shared" si="100"/>
        <v>9</v>
      </c>
      <c r="H223" t="s">
        <v>476</v>
      </c>
      <c r="I223" t="str">
        <f t="shared" si="83"/>
        <v/>
      </c>
      <c r="J223" t="str">
        <f t="shared" si="84"/>
        <v/>
      </c>
      <c r="K223">
        <f t="shared" si="85"/>
        <v>20</v>
      </c>
      <c r="L223" t="str">
        <f t="shared" si="92"/>
        <v>|2,OT-Old Testament [130]</v>
      </c>
      <c r="N223" t="str">
        <f t="shared" si="101"/>
        <v>OT</v>
      </c>
      <c r="O223">
        <f t="shared" si="102"/>
        <v>2</v>
      </c>
      <c r="P223" t="str">
        <f t="shared" si="93"/>
        <v>Re/Bi/OT</v>
      </c>
      <c r="Q223" s="1" t="str">
        <f t="shared" si="94"/>
        <v>OT-Old Testament [130]</v>
      </c>
      <c r="R223" s="2" t="str">
        <f t="shared" si="88"/>
        <v>&lt;li&gt;&lt;input type='checkbox'class= 'ckbx' name='130'value='Re/Bi/OT'&gt; _ _ _ _OT-Old Testament [130]&lt;/li&gt;</v>
      </c>
      <c r="T223" t="str">
        <f t="shared" si="91"/>
        <v>&amp;nbsp;&amp;nbsp;&amp;nbsp;&amp;nbsp;</v>
      </c>
      <c r="U223" t="str">
        <f t="shared" si="86"/>
        <v xml:space="preserve"> _ _ _ _</v>
      </c>
      <c r="V223" s="1" t="s">
        <v>212</v>
      </c>
      <c r="W223" t="str">
        <f t="shared" si="81"/>
        <v>OT-Old Testament [130]</v>
      </c>
      <c r="X223" t="str">
        <f t="shared" si="89"/>
        <v>OT</v>
      </c>
      <c r="Y223">
        <f t="shared" si="90"/>
        <v>22</v>
      </c>
      <c r="Z223">
        <f t="shared" si="82"/>
        <v>24</v>
      </c>
      <c r="AA223">
        <f t="shared" si="80"/>
        <v>2</v>
      </c>
    </row>
    <row r="224" spans="1:27" x14ac:dyDescent="0.25">
      <c r="A224">
        <f t="shared" si="95"/>
        <v>10</v>
      </c>
      <c r="B224">
        <f t="shared" si="96"/>
        <v>14</v>
      </c>
      <c r="C224" t="str">
        <f t="shared" si="97"/>
        <v>212]</v>
      </c>
      <c r="D224">
        <f t="shared" si="87"/>
        <v>4</v>
      </c>
      <c r="E224" t="str">
        <f t="shared" si="98"/>
        <v>212</v>
      </c>
      <c r="F224" t="str">
        <f t="shared" si="99"/>
        <v>212</v>
      </c>
      <c r="G224">
        <f t="shared" si="100"/>
        <v>6</v>
      </c>
      <c r="H224" t="s">
        <v>477</v>
      </c>
      <c r="I224" t="str">
        <f t="shared" si="83"/>
        <v/>
      </c>
      <c r="J224" t="str">
        <f t="shared" si="84"/>
        <v/>
      </c>
      <c r="K224">
        <f t="shared" si="85"/>
        <v>22</v>
      </c>
      <c r="L224" t="str">
        <f t="shared" si="92"/>
        <v>|1,Customs [212]</v>
      </c>
      <c r="N224" t="str">
        <f t="shared" si="101"/>
        <v>Cu</v>
      </c>
      <c r="O224">
        <f t="shared" si="102"/>
        <v>1</v>
      </c>
      <c r="P224" t="str">
        <f t="shared" si="93"/>
        <v>Re/Cu</v>
      </c>
      <c r="Q224" s="1" t="str">
        <f t="shared" si="94"/>
        <v>Customs [212]</v>
      </c>
      <c r="R224" s="2" t="str">
        <f t="shared" si="88"/>
        <v>&lt;li&gt;&lt;input type='checkbox'class= 'ckbx' name='212'value='Re/Cu'&gt; _ _ Customs [212]&lt;/li&gt;</v>
      </c>
      <c r="T224" t="str">
        <f t="shared" si="91"/>
        <v>&amp;nbsp;&amp;nbsp;</v>
      </c>
      <c r="U224" t="str">
        <f t="shared" si="86"/>
        <v xml:space="preserve"> _ _ </v>
      </c>
      <c r="V224" s="1" t="s">
        <v>213</v>
      </c>
      <c r="W224" t="str">
        <f t="shared" si="81"/>
        <v>Customs [212]</v>
      </c>
      <c r="X224" t="str">
        <f t="shared" si="89"/>
        <v>Cu</v>
      </c>
      <c r="Y224">
        <f t="shared" si="90"/>
        <v>13</v>
      </c>
      <c r="Z224">
        <f t="shared" si="82"/>
        <v>14</v>
      </c>
      <c r="AA224">
        <f t="shared" si="80"/>
        <v>1</v>
      </c>
    </row>
    <row r="225" spans="1:27" x14ac:dyDescent="0.25">
      <c r="A225">
        <f t="shared" si="95"/>
        <v>18</v>
      </c>
      <c r="B225">
        <f t="shared" si="96"/>
        <v>22</v>
      </c>
      <c r="C225" t="str">
        <f t="shared" si="97"/>
        <v>721]</v>
      </c>
      <c r="D225">
        <f t="shared" si="87"/>
        <v>4</v>
      </c>
      <c r="E225" t="str">
        <f t="shared" si="98"/>
        <v>721</v>
      </c>
      <c r="F225" t="str">
        <f t="shared" si="99"/>
        <v>721</v>
      </c>
      <c r="G225">
        <f t="shared" si="100"/>
        <v>6</v>
      </c>
      <c r="H225" t="s">
        <v>478</v>
      </c>
      <c r="I225" t="str">
        <f t="shared" si="83"/>
        <v/>
      </c>
      <c r="J225" t="str">
        <f t="shared" si="84"/>
        <v/>
      </c>
      <c r="K225">
        <f t="shared" si="85"/>
        <v>22</v>
      </c>
      <c r="L225" t="str">
        <f t="shared" si="92"/>
        <v>|1,Facts &amp; Figures [721]</v>
      </c>
      <c r="N225" t="str">
        <f t="shared" si="101"/>
        <v>Fa</v>
      </c>
      <c r="O225">
        <f t="shared" si="102"/>
        <v>1</v>
      </c>
      <c r="P225" t="str">
        <f t="shared" si="93"/>
        <v>Re/Fa</v>
      </c>
      <c r="Q225" s="1" t="str">
        <f t="shared" si="94"/>
        <v>Facts &amp; Figures [721]</v>
      </c>
      <c r="R225" s="2" t="str">
        <f t="shared" si="88"/>
        <v>&lt;li&gt;&lt;input type='checkbox'class= 'ckbx' name='721'value='Re/Fa'&gt; _ _ Facts &amp; Figures [721]&lt;/li&gt;</v>
      </c>
      <c r="T225" t="str">
        <f t="shared" si="91"/>
        <v>&amp;nbsp;&amp;nbsp;</v>
      </c>
      <c r="U225" t="str">
        <f t="shared" si="86"/>
        <v xml:space="preserve"> _ _ </v>
      </c>
      <c r="V225" s="1" t="s">
        <v>214</v>
      </c>
      <c r="W225" t="str">
        <f t="shared" si="81"/>
        <v>Facts &amp; Figures [721]</v>
      </c>
      <c r="X225" t="str">
        <f t="shared" si="89"/>
        <v>Fa</v>
      </c>
      <c r="Y225">
        <f t="shared" si="90"/>
        <v>21</v>
      </c>
      <c r="Z225">
        <f t="shared" si="82"/>
        <v>22</v>
      </c>
      <c r="AA225">
        <f t="shared" si="80"/>
        <v>1</v>
      </c>
    </row>
    <row r="226" spans="1:27" x14ac:dyDescent="0.25">
      <c r="A226">
        <f t="shared" si="95"/>
        <v>11</v>
      </c>
      <c r="B226">
        <f t="shared" si="96"/>
        <v>15</v>
      </c>
      <c r="C226" t="str">
        <f t="shared" si="97"/>
        <v>161]</v>
      </c>
      <c r="D226">
        <f t="shared" si="87"/>
        <v>4</v>
      </c>
      <c r="E226" t="str">
        <f t="shared" si="98"/>
        <v>161</v>
      </c>
      <c r="F226" t="str">
        <f t="shared" si="99"/>
        <v>161</v>
      </c>
      <c r="G226">
        <f t="shared" si="100"/>
        <v>6</v>
      </c>
      <c r="H226" t="s">
        <v>479</v>
      </c>
      <c r="I226" t="str">
        <f t="shared" si="83"/>
        <v/>
      </c>
      <c r="J226" t="str">
        <f t="shared" si="84"/>
        <v/>
      </c>
      <c r="K226">
        <f t="shared" si="85"/>
        <v>22</v>
      </c>
      <c r="L226" t="str">
        <f t="shared" si="92"/>
        <v>|1,Holydays [161]</v>
      </c>
      <c r="N226" t="str">
        <f t="shared" si="101"/>
        <v>Ho</v>
      </c>
      <c r="O226">
        <f t="shared" si="102"/>
        <v>1</v>
      </c>
      <c r="P226" t="str">
        <f t="shared" si="93"/>
        <v>Re/Ho</v>
      </c>
      <c r="Q226" s="1" t="str">
        <f t="shared" si="94"/>
        <v>Holydays [161]</v>
      </c>
      <c r="R226" s="2" t="str">
        <f t="shared" si="88"/>
        <v>&lt;li&gt;&lt;input type='checkbox'class= 'ckbx' name='161'value='Re/Ho'&gt; _ _ Holydays [161]&lt;/li&gt;</v>
      </c>
      <c r="T226" t="str">
        <f t="shared" si="91"/>
        <v>&amp;nbsp;&amp;nbsp;</v>
      </c>
      <c r="U226" t="str">
        <f t="shared" si="86"/>
        <v xml:space="preserve"> _ _ </v>
      </c>
      <c r="V226" s="1" t="s">
        <v>215</v>
      </c>
      <c r="W226" t="str">
        <f t="shared" si="81"/>
        <v>Holydays [161]</v>
      </c>
      <c r="X226" t="str">
        <f t="shared" si="89"/>
        <v>Ho</v>
      </c>
      <c r="Y226">
        <f t="shared" si="90"/>
        <v>14</v>
      </c>
      <c r="Z226">
        <f t="shared" si="82"/>
        <v>15</v>
      </c>
      <c r="AA226">
        <f t="shared" ref="AA226:AA265" si="103">Z226-Y226</f>
        <v>1</v>
      </c>
    </row>
    <row r="227" spans="1:27" x14ac:dyDescent="0.25">
      <c r="A227">
        <f t="shared" si="95"/>
        <v>26</v>
      </c>
      <c r="B227">
        <f t="shared" si="96"/>
        <v>31</v>
      </c>
      <c r="C227" t="str">
        <f t="shared" si="97"/>
        <v>1907]</v>
      </c>
      <c r="D227">
        <f t="shared" si="87"/>
        <v>5</v>
      </c>
      <c r="E227" t="str">
        <f t="shared" si="98"/>
        <v>1907</v>
      </c>
      <c r="F227" t="str">
        <f t="shared" si="99"/>
        <v>1907</v>
      </c>
      <c r="G227">
        <f t="shared" si="100"/>
        <v>6</v>
      </c>
      <c r="H227" t="s">
        <v>480</v>
      </c>
      <c r="I227" t="str">
        <f t="shared" si="83"/>
        <v/>
      </c>
      <c r="J227" t="str">
        <f t="shared" si="84"/>
        <v/>
      </c>
      <c r="K227">
        <f t="shared" si="85"/>
        <v>22</v>
      </c>
      <c r="L227" t="str">
        <f t="shared" si="92"/>
        <v>|1,Non Christian Religions [1907]</v>
      </c>
      <c r="N227" t="str">
        <f t="shared" si="101"/>
        <v>No</v>
      </c>
      <c r="O227">
        <f t="shared" si="102"/>
        <v>1</v>
      </c>
      <c r="P227" t="str">
        <f t="shared" si="93"/>
        <v>Re/No</v>
      </c>
      <c r="Q227" s="1" t="str">
        <f t="shared" si="94"/>
        <v>Non Christian Religions [1907]</v>
      </c>
      <c r="R227" s="2" t="str">
        <f t="shared" si="88"/>
        <v>&lt;li&gt;&lt;input type='checkbox'class= 'ckbx' name='1907'value='Re/No'&gt; _ _ Non Christian Religions [1907]&lt;/li&gt;</v>
      </c>
      <c r="T227" t="str">
        <f t="shared" si="91"/>
        <v>&amp;nbsp;&amp;nbsp;</v>
      </c>
      <c r="U227" t="str">
        <f t="shared" si="86"/>
        <v xml:space="preserve"> _ _ </v>
      </c>
      <c r="V227" s="1" t="s">
        <v>216</v>
      </c>
      <c r="W227" t="str">
        <f t="shared" si="81"/>
        <v>Non Christian Religions [1907]</v>
      </c>
      <c r="X227" t="str">
        <f t="shared" si="89"/>
        <v>No</v>
      </c>
      <c r="Y227">
        <f t="shared" si="90"/>
        <v>30</v>
      </c>
      <c r="Z227">
        <f t="shared" si="82"/>
        <v>31</v>
      </c>
      <c r="AA227">
        <f t="shared" si="103"/>
        <v>1</v>
      </c>
    </row>
    <row r="228" spans="1:27" x14ac:dyDescent="0.25">
      <c r="A228">
        <f t="shared" si="95"/>
        <v>20</v>
      </c>
      <c r="B228">
        <f t="shared" si="96"/>
        <v>22</v>
      </c>
      <c r="C228" t="str">
        <f t="shared" si="97"/>
        <v>1]</v>
      </c>
      <c r="D228">
        <f t="shared" si="87"/>
        <v>2</v>
      </c>
      <c r="E228" t="str">
        <f t="shared" si="98"/>
        <v>1</v>
      </c>
      <c r="F228" t="str">
        <f t="shared" si="99"/>
        <v>1</v>
      </c>
      <c r="G228">
        <f t="shared" si="100"/>
        <v>6</v>
      </c>
      <c r="H228" t="s">
        <v>481</v>
      </c>
      <c r="I228" t="str">
        <f t="shared" si="83"/>
        <v/>
      </c>
      <c r="J228" t="str">
        <f t="shared" si="84"/>
        <v/>
      </c>
      <c r="K228">
        <f t="shared" si="85"/>
        <v>22</v>
      </c>
      <c r="L228" t="str">
        <f t="shared" si="92"/>
        <v>|1,Religious Leaders [1]</v>
      </c>
      <c r="N228" t="str">
        <f t="shared" si="101"/>
        <v>Re</v>
      </c>
      <c r="O228">
        <f t="shared" si="102"/>
        <v>1</v>
      </c>
      <c r="P228" t="str">
        <f t="shared" si="93"/>
        <v>Re/Re</v>
      </c>
      <c r="Q228" s="1" t="str">
        <f t="shared" si="94"/>
        <v>Religious Leaders [1]</v>
      </c>
      <c r="R228" s="2" t="str">
        <f t="shared" si="88"/>
        <v>&lt;li&gt;&lt;input type='checkbox'class= 'ckbx' name='1'value='Re/Re'&gt; _ _ Religious Leaders [1]&lt;/li&gt;</v>
      </c>
      <c r="T228" t="str">
        <f t="shared" si="91"/>
        <v>&amp;nbsp;&amp;nbsp;</v>
      </c>
      <c r="U228" t="str">
        <f t="shared" si="86"/>
        <v xml:space="preserve"> _ _ </v>
      </c>
      <c r="V228" s="1" t="s">
        <v>217</v>
      </c>
      <c r="W228" t="str">
        <f t="shared" si="81"/>
        <v>Religious Leaders [1]</v>
      </c>
      <c r="X228" t="str">
        <f t="shared" si="89"/>
        <v>Re</v>
      </c>
      <c r="Y228">
        <f t="shared" si="90"/>
        <v>21</v>
      </c>
      <c r="Z228">
        <f t="shared" si="82"/>
        <v>22</v>
      </c>
      <c r="AA228">
        <f t="shared" si="103"/>
        <v>1</v>
      </c>
    </row>
    <row r="229" spans="1:27" x14ac:dyDescent="0.25">
      <c r="A229">
        <f t="shared" si="95"/>
        <v>18</v>
      </c>
      <c r="B229">
        <f t="shared" si="96"/>
        <v>22</v>
      </c>
      <c r="C229" t="str">
        <f t="shared" si="97"/>
        <v>624]</v>
      </c>
      <c r="D229">
        <f t="shared" si="87"/>
        <v>4</v>
      </c>
      <c r="E229" t="str">
        <f t="shared" si="98"/>
        <v>624</v>
      </c>
      <c r="F229" t="str">
        <f t="shared" si="99"/>
        <v>624</v>
      </c>
      <c r="G229">
        <f t="shared" si="100"/>
        <v>6</v>
      </c>
      <c r="H229" t="s">
        <v>482</v>
      </c>
      <c r="I229" t="str">
        <f t="shared" si="83"/>
        <v/>
      </c>
      <c r="J229" t="str">
        <f t="shared" si="84"/>
        <v/>
      </c>
      <c r="K229">
        <f t="shared" si="85"/>
        <v>22</v>
      </c>
      <c r="L229" t="str">
        <f t="shared" si="92"/>
        <v>|1,What We Believe [624]</v>
      </c>
      <c r="N229" t="str">
        <f t="shared" si="101"/>
        <v>Wh</v>
      </c>
      <c r="O229">
        <f t="shared" si="102"/>
        <v>1</v>
      </c>
      <c r="P229" t="str">
        <f t="shared" si="93"/>
        <v>Re/Wh</v>
      </c>
      <c r="Q229" s="1" t="str">
        <f t="shared" si="94"/>
        <v>What We Believe [624]</v>
      </c>
      <c r="R229" s="2" t="str">
        <f t="shared" si="88"/>
        <v>&lt;li&gt;&lt;input type='checkbox'class= 'ckbx' name='624'value='Re/Wh'&gt; _ _ What We Believe [624]&lt;/li&gt;</v>
      </c>
      <c r="T229" t="str">
        <f t="shared" si="91"/>
        <v>&amp;nbsp;&amp;nbsp;</v>
      </c>
      <c r="U229" t="str">
        <f t="shared" si="86"/>
        <v xml:space="preserve"> _ _ </v>
      </c>
      <c r="V229" s="1" t="s">
        <v>218</v>
      </c>
      <c r="W229" t="str">
        <f t="shared" si="81"/>
        <v>What We Believe [624]</v>
      </c>
      <c r="X229" t="str">
        <f t="shared" si="89"/>
        <v>Wh</v>
      </c>
      <c r="Y229">
        <f t="shared" si="90"/>
        <v>21</v>
      </c>
      <c r="Z229">
        <f t="shared" si="82"/>
        <v>22</v>
      </c>
      <c r="AA229">
        <f t="shared" si="103"/>
        <v>1</v>
      </c>
    </row>
    <row r="230" spans="1:27" x14ac:dyDescent="0.25">
      <c r="A230">
        <f t="shared" si="95"/>
        <v>9</v>
      </c>
      <c r="B230">
        <f t="shared" si="96"/>
        <v>12</v>
      </c>
      <c r="C230" t="str">
        <f t="shared" si="97"/>
        <v>35]</v>
      </c>
      <c r="D230">
        <f t="shared" si="87"/>
        <v>3</v>
      </c>
      <c r="E230" t="str">
        <f t="shared" si="98"/>
        <v>35</v>
      </c>
      <c r="F230" t="str">
        <f t="shared" si="99"/>
        <v>35</v>
      </c>
      <c r="G230">
        <f t="shared" si="100"/>
        <v>3</v>
      </c>
      <c r="H230" t="s">
        <v>291</v>
      </c>
      <c r="I230" t="str">
        <f t="shared" si="83"/>
        <v>&lt;b&gt;</v>
      </c>
      <c r="J230" t="str">
        <f t="shared" si="84"/>
        <v>&lt;/b&gt;</v>
      </c>
      <c r="K230">
        <f t="shared" si="85"/>
        <v>24</v>
      </c>
      <c r="L230" t="str">
        <f t="shared" si="92"/>
        <v>|0,Science [35]</v>
      </c>
      <c r="N230" t="str">
        <f t="shared" si="101"/>
        <v>Sc</v>
      </c>
      <c r="O230">
        <f t="shared" si="102"/>
        <v>0</v>
      </c>
      <c r="P230" t="str">
        <f t="shared" si="93"/>
        <v>Sc</v>
      </c>
      <c r="Q230" s="1" t="str">
        <f t="shared" si="94"/>
        <v>Science [35]</v>
      </c>
      <c r="R230" s="2" t="str">
        <f t="shared" si="88"/>
        <v>&lt;li&gt;&lt;input type='checkbox'class= 'ckbx' name='35'value='Sc'&gt;&lt;b&gt;Science [35]&lt;/b&gt;&lt;/li&gt;</v>
      </c>
      <c r="T230" t="str">
        <f t="shared" si="91"/>
        <v/>
      </c>
      <c r="U230" t="str">
        <f t="shared" si="86"/>
        <v/>
      </c>
      <c r="V230" s="1" t="s">
        <v>219</v>
      </c>
      <c r="W230" t="str">
        <f t="shared" si="81"/>
        <v>Science [35]</v>
      </c>
      <c r="X230" t="str">
        <f t="shared" si="89"/>
        <v>Sc</v>
      </c>
      <c r="Y230">
        <f t="shared" si="90"/>
        <v>12</v>
      </c>
      <c r="Z230">
        <f t="shared" si="82"/>
        <v>12</v>
      </c>
      <c r="AA230">
        <f t="shared" si="103"/>
        <v>0</v>
      </c>
    </row>
    <row r="231" spans="1:27" x14ac:dyDescent="0.25">
      <c r="A231">
        <f t="shared" si="95"/>
        <v>12</v>
      </c>
      <c r="B231">
        <f t="shared" si="96"/>
        <v>15</v>
      </c>
      <c r="C231" t="str">
        <f t="shared" si="97"/>
        <v>59]</v>
      </c>
      <c r="D231">
        <f t="shared" si="87"/>
        <v>3</v>
      </c>
      <c r="E231" t="str">
        <f t="shared" si="98"/>
        <v>59</v>
      </c>
      <c r="F231" t="str">
        <f t="shared" si="99"/>
        <v>59</v>
      </c>
      <c r="G231">
        <f t="shared" si="100"/>
        <v>6</v>
      </c>
      <c r="H231" t="s">
        <v>483</v>
      </c>
      <c r="I231" t="str">
        <f t="shared" si="83"/>
        <v/>
      </c>
      <c r="J231" t="str">
        <f t="shared" si="84"/>
        <v/>
      </c>
      <c r="K231">
        <f t="shared" si="85"/>
        <v>22</v>
      </c>
      <c r="L231" t="str">
        <f t="shared" si="92"/>
        <v>|1,Astronomy [59]</v>
      </c>
      <c r="N231" t="str">
        <f t="shared" si="101"/>
        <v>As</v>
      </c>
      <c r="O231">
        <f t="shared" si="102"/>
        <v>1</v>
      </c>
      <c r="P231" t="str">
        <f t="shared" si="93"/>
        <v>Sc/As</v>
      </c>
      <c r="Q231" s="1" t="str">
        <f t="shared" si="94"/>
        <v>Astronomy [59]</v>
      </c>
      <c r="R231" s="2" t="str">
        <f t="shared" si="88"/>
        <v>&lt;li&gt;&lt;input type='checkbox'class= 'ckbx' name='59'value='Sc/As'&gt; _ _ Astronomy [59]&lt;/li&gt;</v>
      </c>
      <c r="T231" t="str">
        <f t="shared" si="91"/>
        <v>&amp;nbsp;&amp;nbsp;</v>
      </c>
      <c r="U231" t="str">
        <f t="shared" si="86"/>
        <v xml:space="preserve"> _ _ </v>
      </c>
      <c r="V231" s="1" t="s">
        <v>220</v>
      </c>
      <c r="W231" t="str">
        <f t="shared" si="81"/>
        <v>Astronomy [59]</v>
      </c>
      <c r="X231" t="str">
        <f t="shared" si="89"/>
        <v>As</v>
      </c>
      <c r="Y231">
        <f t="shared" si="90"/>
        <v>14</v>
      </c>
      <c r="Z231">
        <f t="shared" si="82"/>
        <v>15</v>
      </c>
      <c r="AA231">
        <f t="shared" si="103"/>
        <v>1</v>
      </c>
    </row>
    <row r="232" spans="1:27" x14ac:dyDescent="0.25">
      <c r="A232">
        <f t="shared" si="95"/>
        <v>10</v>
      </c>
      <c r="B232">
        <f t="shared" si="96"/>
        <v>12</v>
      </c>
      <c r="C232" t="str">
        <f t="shared" si="97"/>
        <v>1]</v>
      </c>
      <c r="D232">
        <f t="shared" si="87"/>
        <v>2</v>
      </c>
      <c r="E232" t="str">
        <f t="shared" si="98"/>
        <v>1</v>
      </c>
      <c r="F232" t="str">
        <f t="shared" si="99"/>
        <v>1</v>
      </c>
      <c r="G232">
        <f t="shared" si="100"/>
        <v>6</v>
      </c>
      <c r="H232" t="s">
        <v>484</v>
      </c>
      <c r="I232" t="str">
        <f t="shared" si="83"/>
        <v/>
      </c>
      <c r="J232" t="str">
        <f t="shared" si="84"/>
        <v/>
      </c>
      <c r="K232">
        <f t="shared" si="85"/>
        <v>22</v>
      </c>
      <c r="L232" t="str">
        <f t="shared" si="92"/>
        <v>|1,Biology [1]</v>
      </c>
      <c r="N232" t="str">
        <f t="shared" si="101"/>
        <v>Bi</v>
      </c>
      <c r="O232">
        <f t="shared" si="102"/>
        <v>1</v>
      </c>
      <c r="P232" t="str">
        <f t="shared" si="93"/>
        <v>Sc/Bi</v>
      </c>
      <c r="Q232" s="1" t="str">
        <f t="shared" si="94"/>
        <v>Biology [1]</v>
      </c>
      <c r="R232" s="2" t="str">
        <f t="shared" si="88"/>
        <v>&lt;li&gt;&lt;input type='checkbox'class= 'ckbx' name='1'value='Sc/Bi'&gt; _ _ Biology [1]&lt;/li&gt;</v>
      </c>
      <c r="T232" t="str">
        <f t="shared" si="91"/>
        <v>&amp;nbsp;&amp;nbsp;</v>
      </c>
      <c r="U232" t="str">
        <f t="shared" si="86"/>
        <v xml:space="preserve"> _ _ </v>
      </c>
      <c r="V232" s="1" t="s">
        <v>221</v>
      </c>
      <c r="W232" t="str">
        <f t="shared" ref="W232:W265" si="104">TRIM(V232)</f>
        <v>Biology [1]</v>
      </c>
      <c r="X232" t="str">
        <f t="shared" si="89"/>
        <v>Bi</v>
      </c>
      <c r="Y232">
        <f t="shared" si="90"/>
        <v>11</v>
      </c>
      <c r="Z232">
        <f t="shared" ref="Z232:Z265" si="105">LEN(V232)</f>
        <v>12</v>
      </c>
      <c r="AA232">
        <f t="shared" si="103"/>
        <v>1</v>
      </c>
    </row>
    <row r="233" spans="1:27" x14ac:dyDescent="0.25">
      <c r="A233">
        <f t="shared" si="95"/>
        <v>8</v>
      </c>
      <c r="B233">
        <f t="shared" si="96"/>
        <v>10</v>
      </c>
      <c r="C233" t="str">
        <f t="shared" si="97"/>
        <v>4]</v>
      </c>
      <c r="D233">
        <f t="shared" si="87"/>
        <v>2</v>
      </c>
      <c r="E233" t="str">
        <f t="shared" si="98"/>
        <v>4</v>
      </c>
      <c r="F233" t="str">
        <f t="shared" si="99"/>
        <v>4</v>
      </c>
      <c r="G233">
        <f t="shared" si="100"/>
        <v>6</v>
      </c>
      <c r="H233" t="s">
        <v>485</v>
      </c>
      <c r="I233" t="str">
        <f t="shared" si="83"/>
        <v/>
      </c>
      <c r="J233" t="str">
        <f t="shared" si="84"/>
        <v/>
      </c>
      <c r="K233">
        <f t="shared" si="85"/>
        <v>22</v>
      </c>
      <c r="L233" t="str">
        <f t="shared" si="92"/>
        <v>|1,Earth [4]</v>
      </c>
      <c r="N233" t="str">
        <f t="shared" si="101"/>
        <v>Ea</v>
      </c>
      <c r="O233">
        <f t="shared" si="102"/>
        <v>1</v>
      </c>
      <c r="P233" t="str">
        <f t="shared" si="93"/>
        <v>Sc/Ea</v>
      </c>
      <c r="Q233" s="1" t="str">
        <f t="shared" si="94"/>
        <v>Earth [4]</v>
      </c>
      <c r="R233" s="2" t="str">
        <f t="shared" si="88"/>
        <v>&lt;li&gt;&lt;input type='checkbox'class= 'ckbx' name='4'value='Sc/Ea'&gt; _ _ Earth [4]&lt;/li&gt;</v>
      </c>
      <c r="T233" t="str">
        <f t="shared" si="91"/>
        <v>&amp;nbsp;&amp;nbsp;</v>
      </c>
      <c r="U233" t="str">
        <f t="shared" si="86"/>
        <v xml:space="preserve"> _ _ </v>
      </c>
      <c r="V233" s="1" t="s">
        <v>222</v>
      </c>
      <c r="W233" t="str">
        <f t="shared" si="104"/>
        <v>Earth [4]</v>
      </c>
      <c r="X233" t="str">
        <f t="shared" si="89"/>
        <v>Ea</v>
      </c>
      <c r="Y233">
        <f t="shared" si="90"/>
        <v>9</v>
      </c>
      <c r="Z233">
        <f t="shared" si="105"/>
        <v>10</v>
      </c>
      <c r="AA233">
        <f t="shared" si="103"/>
        <v>1</v>
      </c>
    </row>
    <row r="234" spans="1:27" x14ac:dyDescent="0.25">
      <c r="A234">
        <f t="shared" si="95"/>
        <v>14</v>
      </c>
      <c r="B234">
        <f t="shared" si="96"/>
        <v>16</v>
      </c>
      <c r="C234" t="str">
        <f t="shared" si="97"/>
        <v>1]</v>
      </c>
      <c r="D234">
        <f t="shared" si="87"/>
        <v>2</v>
      </c>
      <c r="E234" t="str">
        <f t="shared" si="98"/>
        <v>1</v>
      </c>
      <c r="F234" t="str">
        <f t="shared" si="99"/>
        <v>1</v>
      </c>
      <c r="G234">
        <f t="shared" si="100"/>
        <v>6</v>
      </c>
      <c r="H234" t="s">
        <v>486</v>
      </c>
      <c r="I234" t="str">
        <f t="shared" si="83"/>
        <v/>
      </c>
      <c r="J234" t="str">
        <f t="shared" si="84"/>
        <v/>
      </c>
      <c r="K234">
        <f t="shared" si="85"/>
        <v>22</v>
      </c>
      <c r="L234" t="str">
        <f t="shared" si="92"/>
        <v>|1,Engineering [1]</v>
      </c>
      <c r="N234" t="str">
        <f t="shared" si="101"/>
        <v>En</v>
      </c>
      <c r="O234">
        <f t="shared" si="102"/>
        <v>1</v>
      </c>
      <c r="P234" t="str">
        <f t="shared" si="93"/>
        <v>Sc/En</v>
      </c>
      <c r="Q234" s="1" t="str">
        <f t="shared" si="94"/>
        <v>Engineering [1]</v>
      </c>
      <c r="R234" s="2" t="str">
        <f t="shared" si="88"/>
        <v>&lt;li&gt;&lt;input type='checkbox'class= 'ckbx' name='1'value='Sc/En'&gt; _ _ Engineering [1]&lt;/li&gt;</v>
      </c>
      <c r="T234" t="str">
        <f t="shared" si="91"/>
        <v>&amp;nbsp;&amp;nbsp;</v>
      </c>
      <c r="U234" t="str">
        <f t="shared" si="86"/>
        <v xml:space="preserve"> _ _ </v>
      </c>
      <c r="V234" s="1" t="s">
        <v>223</v>
      </c>
      <c r="W234" t="str">
        <f t="shared" si="104"/>
        <v>Engineering [1]</v>
      </c>
      <c r="X234" t="str">
        <f t="shared" si="89"/>
        <v>En</v>
      </c>
      <c r="Y234">
        <f t="shared" si="90"/>
        <v>15</v>
      </c>
      <c r="Z234">
        <f t="shared" si="105"/>
        <v>16</v>
      </c>
      <c r="AA234">
        <f t="shared" si="103"/>
        <v>1</v>
      </c>
    </row>
    <row r="235" spans="1:27" x14ac:dyDescent="0.25">
      <c r="A235">
        <f t="shared" si="95"/>
        <v>18</v>
      </c>
      <c r="B235">
        <f t="shared" si="96"/>
        <v>22</v>
      </c>
      <c r="C235" t="str">
        <f t="shared" si="97"/>
        <v>536]</v>
      </c>
      <c r="D235">
        <f t="shared" si="87"/>
        <v>4</v>
      </c>
      <c r="E235" t="str">
        <f t="shared" si="98"/>
        <v>536</v>
      </c>
      <c r="F235" t="str">
        <f t="shared" si="99"/>
        <v>536</v>
      </c>
      <c r="G235">
        <f t="shared" si="100"/>
        <v>6</v>
      </c>
      <c r="H235" t="s">
        <v>487</v>
      </c>
      <c r="I235" t="str">
        <f t="shared" si="83"/>
        <v/>
      </c>
      <c r="J235" t="str">
        <f t="shared" si="84"/>
        <v/>
      </c>
      <c r="K235">
        <f t="shared" si="85"/>
        <v>22</v>
      </c>
      <c r="L235" t="str">
        <f t="shared" si="92"/>
        <v>|1,Facts &amp; Figures [536]</v>
      </c>
      <c r="N235" t="str">
        <f t="shared" si="101"/>
        <v>Fa</v>
      </c>
      <c r="O235">
        <f t="shared" si="102"/>
        <v>1</v>
      </c>
      <c r="P235" t="str">
        <f t="shared" si="93"/>
        <v>Sc/Fa</v>
      </c>
      <c r="Q235" s="1" t="str">
        <f t="shared" si="94"/>
        <v>Facts &amp; Figures [536]</v>
      </c>
      <c r="R235" s="2" t="str">
        <f t="shared" si="88"/>
        <v>&lt;li&gt;&lt;input type='checkbox'class= 'ckbx' name='536'value='Sc/Fa'&gt; _ _ Facts &amp; Figures [536]&lt;/li&gt;</v>
      </c>
      <c r="T235" t="str">
        <f t="shared" si="91"/>
        <v>&amp;nbsp;&amp;nbsp;</v>
      </c>
      <c r="U235" t="str">
        <f t="shared" si="86"/>
        <v xml:space="preserve"> _ _ </v>
      </c>
      <c r="V235" s="1" t="s">
        <v>224</v>
      </c>
      <c r="W235" t="str">
        <f t="shared" si="104"/>
        <v>Facts &amp; Figures [536]</v>
      </c>
      <c r="X235" t="str">
        <f t="shared" si="89"/>
        <v>Fa</v>
      </c>
      <c r="Y235">
        <f t="shared" si="90"/>
        <v>21</v>
      </c>
      <c r="Z235">
        <f t="shared" si="105"/>
        <v>22</v>
      </c>
      <c r="AA235">
        <f t="shared" si="103"/>
        <v>1</v>
      </c>
    </row>
    <row r="236" spans="1:27" x14ac:dyDescent="0.25">
      <c r="A236">
        <f t="shared" si="95"/>
        <v>20</v>
      </c>
      <c r="B236">
        <f t="shared" si="96"/>
        <v>23</v>
      </c>
      <c r="C236" t="str">
        <f t="shared" si="97"/>
        <v>82]</v>
      </c>
      <c r="D236">
        <f t="shared" si="87"/>
        <v>3</v>
      </c>
      <c r="E236" t="str">
        <f t="shared" si="98"/>
        <v>82</v>
      </c>
      <c r="F236" t="str">
        <f t="shared" si="99"/>
        <v>82</v>
      </c>
      <c r="G236">
        <f t="shared" si="100"/>
        <v>6</v>
      </c>
      <c r="H236" t="s">
        <v>488</v>
      </c>
      <c r="I236" t="str">
        <f t="shared" si="83"/>
        <v/>
      </c>
      <c r="J236" t="str">
        <f t="shared" si="84"/>
        <v/>
      </c>
      <c r="K236">
        <f t="shared" si="85"/>
        <v>22</v>
      </c>
      <c r="L236" t="str">
        <f t="shared" si="92"/>
        <v>|1,Medicine &amp; Health [82]</v>
      </c>
      <c r="N236" t="str">
        <f t="shared" si="101"/>
        <v>Me</v>
      </c>
      <c r="O236">
        <f t="shared" si="102"/>
        <v>1</v>
      </c>
      <c r="P236" t="str">
        <f t="shared" si="93"/>
        <v>Sc/Me</v>
      </c>
      <c r="Q236" s="1" t="str">
        <f t="shared" si="94"/>
        <v>Medicine &amp; Health [82]</v>
      </c>
      <c r="R236" s="2" t="str">
        <f t="shared" si="88"/>
        <v>&lt;li&gt;&lt;input type='checkbox'class= 'ckbx' name='82'value='Sc/Me'&gt; _ _ Medicine &amp; Health [82]&lt;/li&gt;</v>
      </c>
      <c r="T236" t="str">
        <f t="shared" si="91"/>
        <v>&amp;nbsp;&amp;nbsp;</v>
      </c>
      <c r="U236" t="str">
        <f t="shared" si="86"/>
        <v xml:space="preserve"> _ _ </v>
      </c>
      <c r="V236" s="1" t="s">
        <v>225</v>
      </c>
      <c r="W236" t="str">
        <f t="shared" si="104"/>
        <v>Medicine &amp; Health [82]</v>
      </c>
      <c r="X236" t="str">
        <f t="shared" si="89"/>
        <v>Me</v>
      </c>
      <c r="Y236">
        <f t="shared" si="90"/>
        <v>22</v>
      </c>
      <c r="Z236">
        <f t="shared" si="105"/>
        <v>23</v>
      </c>
      <c r="AA236">
        <f t="shared" si="103"/>
        <v>1</v>
      </c>
    </row>
    <row r="237" spans="1:27" x14ac:dyDescent="0.25">
      <c r="A237">
        <f t="shared" si="95"/>
        <v>13</v>
      </c>
      <c r="B237">
        <f t="shared" si="96"/>
        <v>15</v>
      </c>
      <c r="C237" t="str">
        <f t="shared" si="97"/>
        <v>2]</v>
      </c>
      <c r="D237">
        <f t="shared" si="87"/>
        <v>2</v>
      </c>
      <c r="E237" t="str">
        <f t="shared" si="98"/>
        <v>2</v>
      </c>
      <c r="F237" t="str">
        <f t="shared" si="99"/>
        <v>2</v>
      </c>
      <c r="G237">
        <f t="shared" si="100"/>
        <v>6</v>
      </c>
      <c r="H237" t="s">
        <v>489</v>
      </c>
      <c r="I237" t="str">
        <f t="shared" si="83"/>
        <v/>
      </c>
      <c r="J237" t="str">
        <f t="shared" si="84"/>
        <v/>
      </c>
      <c r="K237">
        <f t="shared" si="85"/>
        <v>22</v>
      </c>
      <c r="L237" t="str">
        <f t="shared" si="92"/>
        <v>|1,Milestones [2]</v>
      </c>
      <c r="N237" t="str">
        <f t="shared" si="101"/>
        <v>Mi</v>
      </c>
      <c r="O237">
        <f t="shared" si="102"/>
        <v>1</v>
      </c>
      <c r="P237" t="str">
        <f t="shared" si="93"/>
        <v>Sc/Mi</v>
      </c>
      <c r="Q237" s="1" t="str">
        <f t="shared" si="94"/>
        <v>Milestones [2]</v>
      </c>
      <c r="R237" s="2" t="str">
        <f t="shared" si="88"/>
        <v>&lt;li&gt;&lt;input type='checkbox'class= 'ckbx' name='2'value='Sc/Mi'&gt; _ _ Milestones [2]&lt;/li&gt;</v>
      </c>
      <c r="T237" t="str">
        <f t="shared" si="91"/>
        <v>&amp;nbsp;&amp;nbsp;</v>
      </c>
      <c r="U237" t="str">
        <f t="shared" si="86"/>
        <v xml:space="preserve"> _ _ </v>
      </c>
      <c r="V237" s="1" t="s">
        <v>226</v>
      </c>
      <c r="W237" t="str">
        <f t="shared" si="104"/>
        <v>Milestones [2]</v>
      </c>
      <c r="X237" t="str">
        <f t="shared" si="89"/>
        <v>Mi</v>
      </c>
      <c r="Y237">
        <f t="shared" si="90"/>
        <v>14</v>
      </c>
      <c r="Z237">
        <f t="shared" si="105"/>
        <v>15</v>
      </c>
      <c r="AA237">
        <f t="shared" si="103"/>
        <v>1</v>
      </c>
    </row>
    <row r="238" spans="1:27" x14ac:dyDescent="0.25">
      <c r="A238">
        <f t="shared" si="95"/>
        <v>26</v>
      </c>
      <c r="B238">
        <f t="shared" si="96"/>
        <v>28</v>
      </c>
      <c r="C238" t="str">
        <f t="shared" si="97"/>
        <v>5]</v>
      </c>
      <c r="D238">
        <f t="shared" si="87"/>
        <v>2</v>
      </c>
      <c r="E238" t="str">
        <f t="shared" si="98"/>
        <v>5</v>
      </c>
      <c r="F238" t="str">
        <f t="shared" si="99"/>
        <v>5</v>
      </c>
      <c r="G238">
        <f t="shared" si="100"/>
        <v>6</v>
      </c>
      <c r="H238" t="s">
        <v>490</v>
      </c>
      <c r="I238" t="str">
        <f t="shared" si="83"/>
        <v/>
      </c>
      <c r="J238" t="str">
        <f t="shared" si="84"/>
        <v/>
      </c>
      <c r="K238">
        <f t="shared" si="85"/>
        <v>22</v>
      </c>
      <c r="L238" t="str">
        <f t="shared" si="92"/>
        <v>|1,Technology &amp; Inventions [5]</v>
      </c>
      <c r="N238" t="str">
        <f t="shared" si="101"/>
        <v>Te</v>
      </c>
      <c r="O238">
        <f t="shared" si="102"/>
        <v>1</v>
      </c>
      <c r="P238" t="str">
        <f t="shared" si="93"/>
        <v>Sc/Te</v>
      </c>
      <c r="Q238" s="1" t="str">
        <f t="shared" si="94"/>
        <v>Technology &amp; Inventions [5]</v>
      </c>
      <c r="R238" s="2" t="str">
        <f t="shared" si="88"/>
        <v>&lt;li&gt;&lt;input type='checkbox'class= 'ckbx' name='5'value='Sc/Te'&gt; _ _ Technology &amp; Inventions [5]&lt;/li&gt;</v>
      </c>
      <c r="T238" t="str">
        <f t="shared" si="91"/>
        <v>&amp;nbsp;&amp;nbsp;</v>
      </c>
      <c r="U238" t="str">
        <f t="shared" si="86"/>
        <v xml:space="preserve"> _ _ </v>
      </c>
      <c r="V238" s="1" t="s">
        <v>227</v>
      </c>
      <c r="W238" t="str">
        <f t="shared" si="104"/>
        <v>Technology &amp; Inventions [5]</v>
      </c>
      <c r="X238" t="str">
        <f t="shared" si="89"/>
        <v>Te</v>
      </c>
      <c r="Y238">
        <f t="shared" si="90"/>
        <v>27</v>
      </c>
      <c r="Z238">
        <f t="shared" si="105"/>
        <v>28</v>
      </c>
      <c r="AA238">
        <f t="shared" si="103"/>
        <v>1</v>
      </c>
    </row>
    <row r="239" spans="1:27" x14ac:dyDescent="0.25">
      <c r="A239">
        <f t="shared" si="95"/>
        <v>15</v>
      </c>
      <c r="B239">
        <f t="shared" si="96"/>
        <v>17</v>
      </c>
      <c r="C239" t="str">
        <f t="shared" si="97"/>
        <v>1]</v>
      </c>
      <c r="D239">
        <f t="shared" si="87"/>
        <v>2</v>
      </c>
      <c r="E239" t="str">
        <f t="shared" si="98"/>
        <v>1</v>
      </c>
      <c r="F239" t="str">
        <f t="shared" si="99"/>
        <v>1</v>
      </c>
      <c r="G239">
        <f t="shared" si="100"/>
        <v>6</v>
      </c>
      <c r="H239" t="s">
        <v>491</v>
      </c>
      <c r="I239" t="str">
        <f t="shared" si="83"/>
        <v/>
      </c>
      <c r="J239" t="str">
        <f t="shared" si="84"/>
        <v/>
      </c>
      <c r="K239">
        <f t="shared" si="85"/>
        <v>22</v>
      </c>
      <c r="L239" t="str">
        <f t="shared" si="92"/>
        <v>|1,Trigonometry [1]</v>
      </c>
      <c r="N239" t="str">
        <f t="shared" si="101"/>
        <v>Tr</v>
      </c>
      <c r="O239">
        <f t="shared" si="102"/>
        <v>1</v>
      </c>
      <c r="P239" t="str">
        <f t="shared" si="93"/>
        <v>Sc/Tr</v>
      </c>
      <c r="Q239" s="1" t="str">
        <f t="shared" si="94"/>
        <v>Trigonometry [1]</v>
      </c>
      <c r="R239" s="2" t="str">
        <f t="shared" si="88"/>
        <v>&lt;li&gt;&lt;input type='checkbox'class= 'ckbx' name='1'value='Sc/Tr'&gt; _ _ Trigonometry [1]&lt;/li&gt;</v>
      </c>
      <c r="T239" t="str">
        <f t="shared" si="91"/>
        <v>&amp;nbsp;&amp;nbsp;</v>
      </c>
      <c r="U239" t="str">
        <f t="shared" si="86"/>
        <v xml:space="preserve"> _ _ </v>
      </c>
      <c r="V239" s="1" t="s">
        <v>228</v>
      </c>
      <c r="W239" t="str">
        <f t="shared" si="104"/>
        <v>Trigonometry [1]</v>
      </c>
      <c r="X239" t="str">
        <f t="shared" si="89"/>
        <v>Tr</v>
      </c>
      <c r="Y239">
        <f t="shared" si="90"/>
        <v>16</v>
      </c>
      <c r="Z239">
        <f t="shared" si="105"/>
        <v>17</v>
      </c>
      <c r="AA239">
        <f t="shared" si="103"/>
        <v>1</v>
      </c>
    </row>
    <row r="240" spans="1:27" x14ac:dyDescent="0.25">
      <c r="A240">
        <f t="shared" si="95"/>
        <v>21</v>
      </c>
      <c r="B240">
        <f t="shared" si="96"/>
        <v>24</v>
      </c>
      <c r="C240" t="str">
        <f t="shared" si="97"/>
        <v>14]</v>
      </c>
      <c r="D240">
        <f t="shared" si="87"/>
        <v>3</v>
      </c>
      <c r="E240" t="str">
        <f t="shared" si="98"/>
        <v>14</v>
      </c>
      <c r="F240" t="str">
        <f t="shared" si="99"/>
        <v>14</v>
      </c>
      <c r="G240">
        <f t="shared" si="100"/>
        <v>6</v>
      </c>
      <c r="H240" t="s">
        <v>492</v>
      </c>
      <c r="I240" t="str">
        <f t="shared" si="83"/>
        <v/>
      </c>
      <c r="J240" t="str">
        <f t="shared" si="84"/>
        <v/>
      </c>
      <c r="K240">
        <f t="shared" si="85"/>
        <v>22</v>
      </c>
      <c r="L240" t="str">
        <f t="shared" si="92"/>
        <v>|1,Weights &amp; Measures [14]</v>
      </c>
      <c r="N240" t="str">
        <f t="shared" si="101"/>
        <v>We</v>
      </c>
      <c r="O240">
        <f t="shared" si="102"/>
        <v>1</v>
      </c>
      <c r="P240" t="str">
        <f t="shared" si="93"/>
        <v>Sc/We</v>
      </c>
      <c r="Q240" s="1" t="str">
        <f t="shared" si="94"/>
        <v>Weights &amp; Measures [14]</v>
      </c>
      <c r="R240" s="2" t="str">
        <f t="shared" si="88"/>
        <v>&lt;li&gt;&lt;input type='checkbox'class= 'ckbx' name='14'value='Sc/We'&gt; _ _ Weights &amp; Measures [14]&lt;/li&gt;</v>
      </c>
      <c r="T240" t="str">
        <f t="shared" si="91"/>
        <v>&amp;nbsp;&amp;nbsp;</v>
      </c>
      <c r="U240" t="str">
        <f t="shared" si="86"/>
        <v xml:space="preserve"> _ _ </v>
      </c>
      <c r="V240" s="1" t="s">
        <v>229</v>
      </c>
      <c r="W240" t="str">
        <f t="shared" si="104"/>
        <v>Weights &amp; Measures [14]</v>
      </c>
      <c r="X240" t="str">
        <f t="shared" si="89"/>
        <v>We</v>
      </c>
      <c r="Y240">
        <f t="shared" si="90"/>
        <v>23</v>
      </c>
      <c r="Z240">
        <f t="shared" si="105"/>
        <v>24</v>
      </c>
      <c r="AA240">
        <f t="shared" si="103"/>
        <v>1</v>
      </c>
    </row>
    <row r="241" spans="1:27" x14ac:dyDescent="0.25">
      <c r="A241">
        <f t="shared" si="95"/>
        <v>11</v>
      </c>
      <c r="B241">
        <f t="shared" si="96"/>
        <v>13</v>
      </c>
      <c r="C241" t="str">
        <f t="shared" si="97"/>
        <v>1]</v>
      </c>
      <c r="D241">
        <f t="shared" si="87"/>
        <v>2</v>
      </c>
      <c r="E241" t="str">
        <f t="shared" si="98"/>
        <v>1</v>
      </c>
      <c r="F241" t="str">
        <f t="shared" si="99"/>
        <v>1</v>
      </c>
      <c r="G241">
        <f t="shared" si="100"/>
        <v>3</v>
      </c>
      <c r="H241" t="s">
        <v>292</v>
      </c>
      <c r="I241" t="str">
        <f t="shared" si="83"/>
        <v>&lt;b&gt;</v>
      </c>
      <c r="J241" t="str">
        <f t="shared" si="84"/>
        <v>&lt;/b&gt;</v>
      </c>
      <c r="K241">
        <f t="shared" si="85"/>
        <v>24</v>
      </c>
      <c r="L241" t="str">
        <f t="shared" si="92"/>
        <v>|0,Sexuality [1]</v>
      </c>
      <c r="N241" t="str">
        <f t="shared" si="101"/>
        <v>Se</v>
      </c>
      <c r="O241">
        <f t="shared" si="102"/>
        <v>0</v>
      </c>
      <c r="P241" t="str">
        <f t="shared" si="93"/>
        <v>Se</v>
      </c>
      <c r="Q241" s="1" t="str">
        <f t="shared" si="94"/>
        <v>Sexuality [1]</v>
      </c>
      <c r="R241" s="2" t="str">
        <f t="shared" si="88"/>
        <v>&lt;li&gt;&lt;input type='checkbox'class= 'ckbx' name='1'value='Se'&gt;&lt;b&gt;Sexuality [1]&lt;/b&gt;&lt;/li&gt;</v>
      </c>
      <c r="T241" t="str">
        <f t="shared" si="91"/>
        <v/>
      </c>
      <c r="U241" t="str">
        <f t="shared" si="86"/>
        <v/>
      </c>
      <c r="V241" s="1" t="s">
        <v>230</v>
      </c>
      <c r="W241" t="str">
        <f t="shared" si="104"/>
        <v>Sexuality [1]</v>
      </c>
      <c r="X241" t="str">
        <f t="shared" si="89"/>
        <v>Se</v>
      </c>
      <c r="Y241">
        <f t="shared" si="90"/>
        <v>13</v>
      </c>
      <c r="Z241">
        <f t="shared" si="105"/>
        <v>13</v>
      </c>
      <c r="AA241">
        <f t="shared" si="103"/>
        <v>0</v>
      </c>
    </row>
    <row r="242" spans="1:27" x14ac:dyDescent="0.25">
      <c r="A242" t="e">
        <f t="shared" si="95"/>
        <v>#VALUE!</v>
      </c>
      <c r="B242" t="e">
        <f t="shared" si="96"/>
        <v>#VALUE!</v>
      </c>
      <c r="C242" t="e">
        <f t="shared" si="97"/>
        <v>#VALUE!</v>
      </c>
      <c r="D242" t="e">
        <f t="shared" si="87"/>
        <v>#VALUE!</v>
      </c>
      <c r="E242" t="e">
        <f t="shared" si="98"/>
        <v>#VALUE!</v>
      </c>
      <c r="F242">
        <f t="shared" si="99"/>
        <v>0</v>
      </c>
      <c r="G242">
        <f t="shared" si="100"/>
        <v>3</v>
      </c>
      <c r="H242" t="s">
        <v>293</v>
      </c>
      <c r="I242" t="str">
        <f t="shared" si="83"/>
        <v>&lt;b&gt;</v>
      </c>
      <c r="J242" t="str">
        <f t="shared" si="84"/>
        <v>&lt;/b&gt;</v>
      </c>
      <c r="K242">
        <f t="shared" si="85"/>
        <v>24</v>
      </c>
      <c r="L242" t="str">
        <f t="shared" si="92"/>
        <v>|0,Sports</v>
      </c>
      <c r="N242" t="str">
        <f t="shared" si="101"/>
        <v>Sp</v>
      </c>
      <c r="O242">
        <f t="shared" si="102"/>
        <v>0</v>
      </c>
      <c r="P242" t="str">
        <f t="shared" si="93"/>
        <v>Sp</v>
      </c>
      <c r="Q242" s="1" t="str">
        <f t="shared" si="94"/>
        <v>Sports</v>
      </c>
      <c r="R242" s="2" t="str">
        <f t="shared" si="88"/>
        <v>&lt;li&gt;&lt;input type='checkbox'class= 'ckbx' name='0'value='Sp'&gt;&lt;b&gt;Sports&lt;/b&gt;&lt;/li&gt;</v>
      </c>
      <c r="T242" t="str">
        <f t="shared" si="91"/>
        <v/>
      </c>
      <c r="U242" t="str">
        <f t="shared" si="86"/>
        <v/>
      </c>
      <c r="V242" s="1" t="s">
        <v>231</v>
      </c>
      <c r="W242" t="str">
        <f t="shared" si="104"/>
        <v>Sports</v>
      </c>
      <c r="X242" t="str">
        <f t="shared" si="89"/>
        <v>Sp</v>
      </c>
      <c r="Y242">
        <f t="shared" si="90"/>
        <v>6</v>
      </c>
      <c r="Z242">
        <f t="shared" si="105"/>
        <v>6</v>
      </c>
      <c r="AA242">
        <f t="shared" si="103"/>
        <v>0</v>
      </c>
    </row>
    <row r="243" spans="1:27" x14ac:dyDescent="0.25">
      <c r="A243">
        <f t="shared" si="95"/>
        <v>10</v>
      </c>
      <c r="B243">
        <f t="shared" si="96"/>
        <v>12</v>
      </c>
      <c r="C243" t="str">
        <f t="shared" si="97"/>
        <v>2]</v>
      </c>
      <c r="D243">
        <f t="shared" si="87"/>
        <v>2</v>
      </c>
      <c r="E243" t="str">
        <f t="shared" si="98"/>
        <v>2</v>
      </c>
      <c r="F243" t="str">
        <f t="shared" si="99"/>
        <v>2</v>
      </c>
      <c r="G243">
        <f t="shared" si="100"/>
        <v>6</v>
      </c>
      <c r="H243" t="s">
        <v>493</v>
      </c>
      <c r="I243" t="str">
        <f t="shared" si="83"/>
        <v/>
      </c>
      <c r="J243" t="str">
        <f t="shared" si="84"/>
        <v/>
      </c>
      <c r="K243">
        <f t="shared" si="85"/>
        <v>22</v>
      </c>
      <c r="L243" t="str">
        <f t="shared" si="92"/>
        <v>|1,College [2]</v>
      </c>
      <c r="N243" t="str">
        <f t="shared" si="101"/>
        <v>Co</v>
      </c>
      <c r="O243">
        <f t="shared" si="102"/>
        <v>1</v>
      </c>
      <c r="P243" t="str">
        <f t="shared" si="93"/>
        <v>Sp/Co</v>
      </c>
      <c r="Q243" s="1" t="str">
        <f t="shared" si="94"/>
        <v>College [2]</v>
      </c>
      <c r="R243" s="2" t="str">
        <f t="shared" si="88"/>
        <v>&lt;li&gt;&lt;input type='checkbox'class= 'ckbx' name='2'value='Sp/Co'&gt; _ _ College [2]&lt;/li&gt;</v>
      </c>
      <c r="T243" t="str">
        <f t="shared" si="91"/>
        <v>&amp;nbsp;&amp;nbsp;</v>
      </c>
      <c r="U243" t="str">
        <f t="shared" si="86"/>
        <v xml:space="preserve"> _ _ </v>
      </c>
      <c r="V243" s="1" t="s">
        <v>232</v>
      </c>
      <c r="W243" t="str">
        <f t="shared" si="104"/>
        <v>College [2]</v>
      </c>
      <c r="X243" t="str">
        <f t="shared" si="89"/>
        <v>Co</v>
      </c>
      <c r="Y243">
        <f t="shared" si="90"/>
        <v>11</v>
      </c>
      <c r="Z243">
        <f t="shared" si="105"/>
        <v>12</v>
      </c>
      <c r="AA243">
        <f t="shared" si="103"/>
        <v>1</v>
      </c>
    </row>
    <row r="244" spans="1:27" x14ac:dyDescent="0.25">
      <c r="A244">
        <f t="shared" si="95"/>
        <v>20</v>
      </c>
      <c r="B244">
        <f t="shared" si="96"/>
        <v>22</v>
      </c>
      <c r="C244" t="str">
        <f t="shared" si="97"/>
        <v>5]</v>
      </c>
      <c r="D244">
        <f t="shared" si="87"/>
        <v>2</v>
      </c>
      <c r="E244" t="str">
        <f t="shared" si="98"/>
        <v>5</v>
      </c>
      <c r="F244" t="str">
        <f t="shared" si="99"/>
        <v>5</v>
      </c>
      <c r="G244">
        <f t="shared" si="100"/>
        <v>6</v>
      </c>
      <c r="H244" t="s">
        <v>494</v>
      </c>
      <c r="I244" t="str">
        <f t="shared" si="83"/>
        <v/>
      </c>
      <c r="J244" t="str">
        <f t="shared" si="84"/>
        <v/>
      </c>
      <c r="K244">
        <f t="shared" si="85"/>
        <v>22</v>
      </c>
      <c r="L244" t="str">
        <f t="shared" si="92"/>
        <v>|1,Facts And Figures [5]</v>
      </c>
      <c r="N244" t="str">
        <f t="shared" si="101"/>
        <v>Fa</v>
      </c>
      <c r="O244">
        <f t="shared" si="102"/>
        <v>1</v>
      </c>
      <c r="P244" t="str">
        <f t="shared" si="93"/>
        <v>Sp/Fa</v>
      </c>
      <c r="Q244" s="1" t="str">
        <f t="shared" si="94"/>
        <v>Facts And Figures [5]</v>
      </c>
      <c r="R244" s="2" t="str">
        <f t="shared" si="88"/>
        <v>&lt;li&gt;&lt;input type='checkbox'class= 'ckbx' name='5'value='Sp/Fa'&gt; _ _ Facts And Figures [5]&lt;/li&gt;</v>
      </c>
      <c r="T244" t="str">
        <f t="shared" si="91"/>
        <v>&amp;nbsp;&amp;nbsp;</v>
      </c>
      <c r="U244" t="str">
        <f t="shared" si="86"/>
        <v xml:space="preserve"> _ _ </v>
      </c>
      <c r="V244" s="1" t="s">
        <v>233</v>
      </c>
      <c r="W244" t="str">
        <f t="shared" si="104"/>
        <v>Facts And Figures [5]</v>
      </c>
      <c r="X244" t="str">
        <f t="shared" si="89"/>
        <v>Fa</v>
      </c>
      <c r="Y244">
        <f t="shared" si="90"/>
        <v>21</v>
      </c>
      <c r="Z244">
        <f t="shared" si="105"/>
        <v>22</v>
      </c>
      <c r="AA244">
        <f t="shared" si="103"/>
        <v>1</v>
      </c>
    </row>
    <row r="245" spans="1:27" x14ac:dyDescent="0.25">
      <c r="A245">
        <f t="shared" si="95"/>
        <v>8</v>
      </c>
      <c r="B245">
        <f t="shared" si="96"/>
        <v>11</v>
      </c>
      <c r="C245" t="str">
        <f t="shared" si="97"/>
        <v>15]</v>
      </c>
      <c r="D245">
        <f t="shared" si="87"/>
        <v>3</v>
      </c>
      <c r="E245" t="str">
        <f t="shared" si="98"/>
        <v>15</v>
      </c>
      <c r="F245" t="str">
        <f t="shared" si="99"/>
        <v>15</v>
      </c>
      <c r="G245">
        <f t="shared" si="100"/>
        <v>6</v>
      </c>
      <c r="H245" t="s">
        <v>495</v>
      </c>
      <c r="I245" t="str">
        <f t="shared" si="83"/>
        <v/>
      </c>
      <c r="J245" t="str">
        <f t="shared" si="84"/>
        <v/>
      </c>
      <c r="K245">
        <f t="shared" si="85"/>
        <v>22</v>
      </c>
      <c r="L245" t="str">
        <f t="shared" si="92"/>
        <v>|1,Horse [15]</v>
      </c>
      <c r="N245" t="str">
        <f t="shared" si="101"/>
        <v>Ho</v>
      </c>
      <c r="O245">
        <f t="shared" si="102"/>
        <v>1</v>
      </c>
      <c r="P245" t="str">
        <f t="shared" si="93"/>
        <v>Sp/Ho</v>
      </c>
      <c r="Q245" s="1" t="str">
        <f t="shared" si="94"/>
        <v>Horse [15]</v>
      </c>
      <c r="R245" s="2" t="str">
        <f t="shared" si="88"/>
        <v>&lt;li&gt;&lt;input type='checkbox'class= 'ckbx' name='15'value='Sp/Ho'&gt; _ _ Horse [15]&lt;/li&gt;</v>
      </c>
      <c r="T245" t="str">
        <f t="shared" si="91"/>
        <v>&amp;nbsp;&amp;nbsp;</v>
      </c>
      <c r="U245" t="str">
        <f t="shared" si="86"/>
        <v xml:space="preserve"> _ _ </v>
      </c>
      <c r="V245" s="1" t="s">
        <v>234</v>
      </c>
      <c r="W245" t="str">
        <f t="shared" si="104"/>
        <v>Horse [15]</v>
      </c>
      <c r="X245" t="str">
        <f t="shared" si="89"/>
        <v>Ho</v>
      </c>
      <c r="Y245">
        <f t="shared" si="90"/>
        <v>10</v>
      </c>
      <c r="Z245">
        <f t="shared" si="105"/>
        <v>11</v>
      </c>
      <c r="AA245">
        <f t="shared" si="103"/>
        <v>1</v>
      </c>
    </row>
    <row r="246" spans="1:27" x14ac:dyDescent="0.25">
      <c r="A246">
        <f t="shared" si="95"/>
        <v>10</v>
      </c>
      <c r="B246">
        <f t="shared" si="96"/>
        <v>15</v>
      </c>
      <c r="C246" t="str">
        <f t="shared" si="97"/>
        <v>1645]</v>
      </c>
      <c r="D246">
        <f t="shared" si="87"/>
        <v>5</v>
      </c>
      <c r="E246" t="str">
        <f t="shared" si="98"/>
        <v>1645</v>
      </c>
      <c r="F246" t="str">
        <f t="shared" si="99"/>
        <v>1645</v>
      </c>
      <c r="G246">
        <f t="shared" si="100"/>
        <v>6</v>
      </c>
      <c r="H246" t="s">
        <v>496</v>
      </c>
      <c r="I246" t="str">
        <f t="shared" si="83"/>
        <v/>
      </c>
      <c r="J246" t="str">
        <f t="shared" si="84"/>
        <v/>
      </c>
      <c r="K246">
        <f t="shared" si="85"/>
        <v>22</v>
      </c>
      <c r="L246" t="str">
        <f t="shared" si="92"/>
        <v>|1,Olympic [1645]</v>
      </c>
      <c r="N246" t="str">
        <f t="shared" si="101"/>
        <v>Ol</v>
      </c>
      <c r="O246">
        <f t="shared" si="102"/>
        <v>1</v>
      </c>
      <c r="P246" t="str">
        <f t="shared" si="93"/>
        <v>Sp/Ol</v>
      </c>
      <c r="Q246" s="1" t="str">
        <f t="shared" si="94"/>
        <v>Olympic [1645]</v>
      </c>
      <c r="R246" s="2" t="str">
        <f t="shared" si="88"/>
        <v>&lt;li&gt;&lt;input type='checkbox'class= 'ckbx' name='1645'value='Sp/Ol'&gt; _ _ Olympic [1645]&lt;/li&gt;</v>
      </c>
      <c r="T246" t="str">
        <f t="shared" si="91"/>
        <v>&amp;nbsp;&amp;nbsp;</v>
      </c>
      <c r="U246" t="str">
        <f t="shared" si="86"/>
        <v xml:space="preserve"> _ _ </v>
      </c>
      <c r="V246" s="1" t="s">
        <v>235</v>
      </c>
      <c r="W246" t="str">
        <f t="shared" si="104"/>
        <v>Olympic [1645]</v>
      </c>
      <c r="X246" t="str">
        <f t="shared" si="89"/>
        <v>Ol</v>
      </c>
      <c r="Y246">
        <f t="shared" si="90"/>
        <v>14</v>
      </c>
      <c r="Z246">
        <f t="shared" si="105"/>
        <v>15</v>
      </c>
      <c r="AA246">
        <f t="shared" si="103"/>
        <v>1</v>
      </c>
    </row>
    <row r="247" spans="1:27" x14ac:dyDescent="0.25">
      <c r="A247">
        <f t="shared" si="95"/>
        <v>15</v>
      </c>
      <c r="B247">
        <f t="shared" si="96"/>
        <v>18</v>
      </c>
      <c r="C247" t="str">
        <f t="shared" si="97"/>
        <v>27]</v>
      </c>
      <c r="D247">
        <f t="shared" si="87"/>
        <v>3</v>
      </c>
      <c r="E247" t="str">
        <f t="shared" si="98"/>
        <v>27</v>
      </c>
      <c r="F247" t="str">
        <f t="shared" si="99"/>
        <v>27</v>
      </c>
      <c r="G247">
        <f t="shared" si="100"/>
        <v>6</v>
      </c>
      <c r="H247" t="s">
        <v>497</v>
      </c>
      <c r="I247" t="str">
        <f t="shared" si="83"/>
        <v/>
      </c>
      <c r="J247" t="str">
        <f t="shared" si="84"/>
        <v/>
      </c>
      <c r="K247">
        <f t="shared" si="85"/>
        <v>22</v>
      </c>
      <c r="L247" t="str">
        <f t="shared" si="92"/>
        <v>|1,Professional [27]</v>
      </c>
      <c r="N247" t="str">
        <f t="shared" si="101"/>
        <v>Pr</v>
      </c>
      <c r="O247">
        <f t="shared" si="102"/>
        <v>1</v>
      </c>
      <c r="P247" t="str">
        <f t="shared" si="93"/>
        <v>Sp/Pr</v>
      </c>
      <c r="Q247" s="1" t="str">
        <f t="shared" si="94"/>
        <v>Professional [27]</v>
      </c>
      <c r="R247" s="2" t="str">
        <f t="shared" si="88"/>
        <v>&lt;li&gt;&lt;input type='checkbox'class= 'ckbx' name='27'value='Sp/Pr'&gt; _ _ Professional [27]&lt;/li&gt;</v>
      </c>
      <c r="T247" t="str">
        <f t="shared" si="91"/>
        <v>&amp;nbsp;&amp;nbsp;</v>
      </c>
      <c r="U247" t="str">
        <f t="shared" si="86"/>
        <v xml:space="preserve"> _ _ </v>
      </c>
      <c r="V247" s="1" t="s">
        <v>236</v>
      </c>
      <c r="W247" t="str">
        <f t="shared" si="104"/>
        <v>Professional [27]</v>
      </c>
      <c r="X247" t="str">
        <f t="shared" si="89"/>
        <v>Pr</v>
      </c>
      <c r="Y247">
        <f t="shared" si="90"/>
        <v>17</v>
      </c>
      <c r="Z247">
        <f t="shared" si="105"/>
        <v>18</v>
      </c>
      <c r="AA247">
        <f t="shared" si="103"/>
        <v>1</v>
      </c>
    </row>
    <row r="248" spans="1:27" x14ac:dyDescent="0.25">
      <c r="A248">
        <f t="shared" si="95"/>
        <v>17</v>
      </c>
      <c r="B248">
        <f t="shared" si="96"/>
        <v>20</v>
      </c>
      <c r="C248" t="str">
        <f t="shared" si="97"/>
        <v>30]</v>
      </c>
      <c r="D248">
        <f t="shared" si="87"/>
        <v>3</v>
      </c>
      <c r="E248" t="str">
        <f t="shared" si="98"/>
        <v>30</v>
      </c>
      <c r="F248" t="str">
        <f t="shared" si="99"/>
        <v>30</v>
      </c>
      <c r="G248">
        <f t="shared" si="100"/>
        <v>9</v>
      </c>
      <c r="H248" t="s">
        <v>498</v>
      </c>
      <c r="I248" t="str">
        <f t="shared" si="83"/>
        <v/>
      </c>
      <c r="J248" t="str">
        <f t="shared" si="84"/>
        <v/>
      </c>
      <c r="K248">
        <f t="shared" si="85"/>
        <v>20</v>
      </c>
      <c r="L248" t="str">
        <f t="shared" si="92"/>
        <v>|2,BK-Basketball [30]</v>
      </c>
      <c r="N248" t="str">
        <f t="shared" si="101"/>
        <v>BK</v>
      </c>
      <c r="O248">
        <f t="shared" si="102"/>
        <v>2</v>
      </c>
      <c r="P248" t="str">
        <f t="shared" si="93"/>
        <v>Sp/Pr/BK</v>
      </c>
      <c r="Q248" s="1" t="str">
        <f t="shared" si="94"/>
        <v>BK-Basketball [30]</v>
      </c>
      <c r="R248" s="2" t="str">
        <f t="shared" si="88"/>
        <v>&lt;li&gt;&lt;input type='checkbox'class= 'ckbx' name='30'value='Sp/Pr/BK'&gt; _ _ _ _BK-Basketball [30]&lt;/li&gt;</v>
      </c>
      <c r="T248" t="str">
        <f t="shared" si="91"/>
        <v>&amp;nbsp;&amp;nbsp;&amp;nbsp;&amp;nbsp;</v>
      </c>
      <c r="U248" t="str">
        <f t="shared" si="86"/>
        <v xml:space="preserve"> _ _ _ _</v>
      </c>
      <c r="V248" s="1" t="s">
        <v>237</v>
      </c>
      <c r="W248" t="str">
        <f t="shared" si="104"/>
        <v>BK-Basketball [30]</v>
      </c>
      <c r="X248" t="str">
        <f t="shared" si="89"/>
        <v>BK</v>
      </c>
      <c r="Y248">
        <f t="shared" si="90"/>
        <v>18</v>
      </c>
      <c r="Z248">
        <f t="shared" si="105"/>
        <v>20</v>
      </c>
      <c r="AA248">
        <f t="shared" si="103"/>
        <v>2</v>
      </c>
    </row>
    <row r="249" spans="1:27" x14ac:dyDescent="0.25">
      <c r="A249">
        <f t="shared" si="95"/>
        <v>12</v>
      </c>
      <c r="B249">
        <f t="shared" si="96"/>
        <v>14</v>
      </c>
      <c r="C249" t="str">
        <f t="shared" si="97"/>
        <v>0]</v>
      </c>
      <c r="D249">
        <f t="shared" si="87"/>
        <v>2</v>
      </c>
      <c r="E249" t="str">
        <f t="shared" si="98"/>
        <v>0</v>
      </c>
      <c r="F249" t="str">
        <f t="shared" si="99"/>
        <v>0</v>
      </c>
      <c r="G249">
        <f t="shared" si="100"/>
        <v>9</v>
      </c>
      <c r="H249" t="s">
        <v>499</v>
      </c>
      <c r="I249" t="str">
        <f t="shared" si="83"/>
        <v/>
      </c>
      <c r="J249" t="str">
        <f t="shared" si="84"/>
        <v/>
      </c>
      <c r="K249">
        <f t="shared" si="85"/>
        <v>20</v>
      </c>
      <c r="L249" t="str">
        <f t="shared" si="92"/>
        <v>|2,Baseball [0]</v>
      </c>
      <c r="N249" t="str">
        <f t="shared" si="101"/>
        <v>Ba</v>
      </c>
      <c r="O249">
        <f t="shared" si="102"/>
        <v>2</v>
      </c>
      <c r="P249" t="str">
        <f t="shared" si="93"/>
        <v>Sp/Pr/Ba</v>
      </c>
      <c r="Q249" s="1" t="str">
        <f t="shared" si="94"/>
        <v>Baseball [0]</v>
      </c>
      <c r="R249" s="2" t="str">
        <f t="shared" si="88"/>
        <v>&lt;li&gt;&lt;input type='checkbox'class= 'ckbx' name='0'value='Sp/Pr/Ba'&gt; _ _ _ _Baseball [0]&lt;/li&gt;</v>
      </c>
      <c r="T249" t="str">
        <f t="shared" si="91"/>
        <v>&amp;nbsp;&amp;nbsp;&amp;nbsp;&amp;nbsp;</v>
      </c>
      <c r="U249" t="str">
        <f t="shared" si="86"/>
        <v xml:space="preserve"> _ _ _ _</v>
      </c>
      <c r="V249" s="1" t="s">
        <v>238</v>
      </c>
      <c r="W249" t="str">
        <f t="shared" si="104"/>
        <v>Baseball [0]</v>
      </c>
      <c r="X249" t="str">
        <f t="shared" si="89"/>
        <v>Ba</v>
      </c>
      <c r="Y249">
        <f t="shared" si="90"/>
        <v>12</v>
      </c>
      <c r="Z249">
        <f t="shared" si="105"/>
        <v>14</v>
      </c>
      <c r="AA249">
        <f t="shared" si="103"/>
        <v>2</v>
      </c>
    </row>
    <row r="250" spans="1:27" x14ac:dyDescent="0.25">
      <c r="A250">
        <f t="shared" si="95"/>
        <v>12</v>
      </c>
      <c r="B250">
        <f t="shared" si="96"/>
        <v>15</v>
      </c>
      <c r="C250" t="str">
        <f t="shared" si="97"/>
        <v>34]</v>
      </c>
      <c r="D250">
        <f t="shared" si="87"/>
        <v>3</v>
      </c>
      <c r="E250" t="str">
        <f t="shared" si="98"/>
        <v>34</v>
      </c>
      <c r="F250" t="str">
        <f t="shared" si="99"/>
        <v>34</v>
      </c>
      <c r="G250">
        <f t="shared" si="100"/>
        <v>9</v>
      </c>
      <c r="H250" t="s">
        <v>500</v>
      </c>
      <c r="I250" t="str">
        <f t="shared" si="83"/>
        <v/>
      </c>
      <c r="J250" t="str">
        <f t="shared" si="84"/>
        <v/>
      </c>
      <c r="K250">
        <f t="shared" si="85"/>
        <v>20</v>
      </c>
      <c r="L250" t="str">
        <f t="shared" si="92"/>
        <v>|2,Football [34]</v>
      </c>
      <c r="N250" t="str">
        <f t="shared" si="101"/>
        <v>Fo</v>
      </c>
      <c r="O250">
        <f t="shared" si="102"/>
        <v>2</v>
      </c>
      <c r="P250" t="str">
        <f t="shared" si="93"/>
        <v>Sp/Pr/Fo</v>
      </c>
      <c r="Q250" s="1" t="str">
        <f t="shared" si="94"/>
        <v>Football [34]</v>
      </c>
      <c r="R250" s="2" t="str">
        <f t="shared" si="88"/>
        <v>&lt;li&gt;&lt;input type='checkbox'class= 'ckbx' name='34'value='Sp/Pr/Fo'&gt; _ _ _ _Football [34]&lt;/li&gt;</v>
      </c>
      <c r="T250" t="str">
        <f t="shared" si="91"/>
        <v>&amp;nbsp;&amp;nbsp;&amp;nbsp;&amp;nbsp;</v>
      </c>
      <c r="U250" t="str">
        <f t="shared" si="86"/>
        <v xml:space="preserve"> _ _ _ _</v>
      </c>
      <c r="V250" s="1" t="s">
        <v>239</v>
      </c>
      <c r="W250" t="str">
        <f t="shared" si="104"/>
        <v>Football [34]</v>
      </c>
      <c r="X250" t="str">
        <f t="shared" si="89"/>
        <v>Fo</v>
      </c>
      <c r="Y250">
        <f t="shared" si="90"/>
        <v>13</v>
      </c>
      <c r="Z250">
        <f t="shared" si="105"/>
        <v>15</v>
      </c>
      <c r="AA250">
        <f t="shared" si="103"/>
        <v>2</v>
      </c>
    </row>
    <row r="251" spans="1:27" x14ac:dyDescent="0.25">
      <c r="A251">
        <f t="shared" si="95"/>
        <v>10</v>
      </c>
      <c r="B251">
        <f t="shared" si="96"/>
        <v>13</v>
      </c>
      <c r="C251" t="str">
        <f t="shared" si="97"/>
        <v>30]</v>
      </c>
      <c r="D251">
        <f t="shared" si="87"/>
        <v>3</v>
      </c>
      <c r="E251" t="str">
        <f t="shared" si="98"/>
        <v>30</v>
      </c>
      <c r="F251" t="str">
        <f t="shared" si="99"/>
        <v>30</v>
      </c>
      <c r="G251">
        <f t="shared" si="100"/>
        <v>9</v>
      </c>
      <c r="H251" t="s">
        <v>501</v>
      </c>
      <c r="I251" t="str">
        <f t="shared" si="83"/>
        <v/>
      </c>
      <c r="J251" t="str">
        <f t="shared" si="84"/>
        <v/>
      </c>
      <c r="K251">
        <f t="shared" si="85"/>
        <v>20</v>
      </c>
      <c r="L251" t="str">
        <f t="shared" si="92"/>
        <v>|2,Hockey [30]</v>
      </c>
      <c r="N251" t="str">
        <f t="shared" si="101"/>
        <v>Ho</v>
      </c>
      <c r="O251">
        <f t="shared" si="102"/>
        <v>2</v>
      </c>
      <c r="P251" t="str">
        <f t="shared" si="93"/>
        <v>Sp/Pr/Ho</v>
      </c>
      <c r="Q251" s="1" t="str">
        <f t="shared" si="94"/>
        <v>Hockey [30]</v>
      </c>
      <c r="R251" s="2" t="str">
        <f t="shared" si="88"/>
        <v>&lt;li&gt;&lt;input type='checkbox'class= 'ckbx' name='30'value='Sp/Pr/Ho'&gt; _ _ _ _Hockey [30]&lt;/li&gt;</v>
      </c>
      <c r="T251" t="str">
        <f t="shared" si="91"/>
        <v>&amp;nbsp;&amp;nbsp;&amp;nbsp;&amp;nbsp;</v>
      </c>
      <c r="U251" t="str">
        <f t="shared" si="86"/>
        <v xml:space="preserve"> _ _ _ _</v>
      </c>
      <c r="V251" s="1" t="s">
        <v>240</v>
      </c>
      <c r="W251" t="str">
        <f t="shared" si="104"/>
        <v>Hockey [30]</v>
      </c>
      <c r="X251" t="str">
        <f t="shared" si="89"/>
        <v>Ho</v>
      </c>
      <c r="Y251">
        <f t="shared" si="90"/>
        <v>11</v>
      </c>
      <c r="Z251">
        <f t="shared" si="105"/>
        <v>13</v>
      </c>
      <c r="AA251">
        <f t="shared" si="103"/>
        <v>2</v>
      </c>
    </row>
    <row r="252" spans="1:27" x14ac:dyDescent="0.25">
      <c r="A252">
        <f t="shared" si="95"/>
        <v>10</v>
      </c>
      <c r="B252">
        <f t="shared" si="96"/>
        <v>13</v>
      </c>
      <c r="C252" t="str">
        <f t="shared" si="97"/>
        <v>14]</v>
      </c>
      <c r="D252">
        <f t="shared" si="87"/>
        <v>3</v>
      </c>
      <c r="E252" t="str">
        <f t="shared" si="98"/>
        <v>14</v>
      </c>
      <c r="F252" t="str">
        <f t="shared" si="99"/>
        <v>14</v>
      </c>
      <c r="G252">
        <f t="shared" si="100"/>
        <v>9</v>
      </c>
      <c r="H252" t="s">
        <v>502</v>
      </c>
      <c r="I252" t="str">
        <f t="shared" si="83"/>
        <v/>
      </c>
      <c r="J252" t="str">
        <f t="shared" si="84"/>
        <v/>
      </c>
      <c r="K252">
        <f t="shared" si="85"/>
        <v>20</v>
      </c>
      <c r="L252" t="str">
        <f t="shared" si="92"/>
        <v>|2,Soccer [14]</v>
      </c>
      <c r="N252" t="str">
        <f t="shared" si="101"/>
        <v>So</v>
      </c>
      <c r="O252">
        <f t="shared" si="102"/>
        <v>2</v>
      </c>
      <c r="P252" t="str">
        <f t="shared" si="93"/>
        <v>Sp/Pr/So</v>
      </c>
      <c r="Q252" s="1" t="str">
        <f t="shared" si="94"/>
        <v>Soccer [14]</v>
      </c>
      <c r="R252" s="2" t="str">
        <f t="shared" si="88"/>
        <v>&lt;li&gt;&lt;input type='checkbox'class= 'ckbx' name='14'value='Sp/Pr/So'&gt; _ _ _ _Soccer [14]&lt;/li&gt;</v>
      </c>
      <c r="T252" t="str">
        <f t="shared" si="91"/>
        <v>&amp;nbsp;&amp;nbsp;&amp;nbsp;&amp;nbsp;</v>
      </c>
      <c r="U252" t="str">
        <f t="shared" si="86"/>
        <v xml:space="preserve"> _ _ _ _</v>
      </c>
      <c r="V252" s="1" t="s">
        <v>241</v>
      </c>
      <c r="W252" t="str">
        <f t="shared" si="104"/>
        <v>Soccer [14]</v>
      </c>
      <c r="X252" t="str">
        <f t="shared" si="89"/>
        <v>So</v>
      </c>
      <c r="Y252">
        <f t="shared" si="90"/>
        <v>11</v>
      </c>
      <c r="Z252">
        <f t="shared" si="105"/>
        <v>13</v>
      </c>
      <c r="AA252">
        <f t="shared" si="103"/>
        <v>2</v>
      </c>
    </row>
    <row r="253" spans="1:27" x14ac:dyDescent="0.25">
      <c r="A253">
        <f t="shared" si="95"/>
        <v>10</v>
      </c>
      <c r="B253">
        <f t="shared" si="96"/>
        <v>13</v>
      </c>
      <c r="C253" t="str">
        <f t="shared" si="97"/>
        <v>32]</v>
      </c>
      <c r="D253">
        <f t="shared" si="87"/>
        <v>3</v>
      </c>
      <c r="E253" t="str">
        <f t="shared" si="98"/>
        <v>32</v>
      </c>
      <c r="F253" t="str">
        <f t="shared" si="99"/>
        <v>32</v>
      </c>
      <c r="G253">
        <f t="shared" si="100"/>
        <v>6</v>
      </c>
      <c r="H253" t="s">
        <v>503</v>
      </c>
      <c r="I253" t="str">
        <f t="shared" si="83"/>
        <v/>
      </c>
      <c r="J253" t="str">
        <f t="shared" si="84"/>
        <v/>
      </c>
      <c r="K253">
        <f t="shared" si="85"/>
        <v>22</v>
      </c>
      <c r="L253" t="str">
        <f t="shared" si="92"/>
        <v>|1,Sailing [32]</v>
      </c>
      <c r="N253" t="str">
        <f t="shared" si="101"/>
        <v>Sa</v>
      </c>
      <c r="O253">
        <f t="shared" si="102"/>
        <v>1</v>
      </c>
      <c r="P253" t="str">
        <f t="shared" si="93"/>
        <v>Sp/Sa</v>
      </c>
      <c r="Q253" s="1" t="str">
        <f t="shared" si="94"/>
        <v>Sailing [32]</v>
      </c>
      <c r="R253" s="2" t="str">
        <f t="shared" si="88"/>
        <v>&lt;li&gt;&lt;input type='checkbox'class= 'ckbx' name='32'value='Sp/Sa'&gt; _ _ Sailing [32]&lt;/li&gt;</v>
      </c>
      <c r="T253" t="str">
        <f t="shared" si="91"/>
        <v>&amp;nbsp;&amp;nbsp;</v>
      </c>
      <c r="U253" t="str">
        <f t="shared" si="86"/>
        <v xml:space="preserve"> _ _ </v>
      </c>
      <c r="V253" s="1" t="s">
        <v>242</v>
      </c>
      <c r="W253" t="str">
        <f t="shared" si="104"/>
        <v>Sailing [32]</v>
      </c>
      <c r="X253" t="str">
        <f t="shared" si="89"/>
        <v>Sa</v>
      </c>
      <c r="Y253">
        <f t="shared" si="90"/>
        <v>12</v>
      </c>
      <c r="Z253">
        <f t="shared" si="105"/>
        <v>13</v>
      </c>
      <c r="AA253">
        <f t="shared" si="103"/>
        <v>1</v>
      </c>
    </row>
    <row r="254" spans="1:27" x14ac:dyDescent="0.25">
      <c r="A254">
        <f t="shared" si="95"/>
        <v>9</v>
      </c>
      <c r="B254">
        <f t="shared" si="96"/>
        <v>11</v>
      </c>
      <c r="C254" t="str">
        <f t="shared" si="97"/>
        <v>9]</v>
      </c>
      <c r="D254">
        <f t="shared" si="87"/>
        <v>2</v>
      </c>
      <c r="E254" t="str">
        <f t="shared" si="98"/>
        <v>9</v>
      </c>
      <c r="F254" t="str">
        <f t="shared" si="99"/>
        <v>9</v>
      </c>
      <c r="G254">
        <f t="shared" si="100"/>
        <v>6</v>
      </c>
      <c r="H254" t="s">
        <v>504</v>
      </c>
      <c r="I254" t="str">
        <f t="shared" si="83"/>
        <v/>
      </c>
      <c r="J254" t="str">
        <f t="shared" si="84"/>
        <v/>
      </c>
      <c r="K254">
        <f t="shared" si="85"/>
        <v>22</v>
      </c>
      <c r="L254" t="str">
        <f t="shared" si="92"/>
        <v>|1,Skiing [9]</v>
      </c>
      <c r="N254" t="str">
        <f t="shared" si="101"/>
        <v>Sk</v>
      </c>
      <c r="O254">
        <f t="shared" si="102"/>
        <v>1</v>
      </c>
      <c r="P254" t="str">
        <f t="shared" si="93"/>
        <v>Sp/Sk</v>
      </c>
      <c r="Q254" s="1" t="str">
        <f t="shared" si="94"/>
        <v>Skiing [9]</v>
      </c>
      <c r="R254" s="2" t="str">
        <f t="shared" si="88"/>
        <v>&lt;li&gt;&lt;input type='checkbox'class= 'ckbx' name='9'value='Sp/Sk'&gt; _ _ Skiing [9]&lt;/li&gt;</v>
      </c>
      <c r="T254" t="str">
        <f t="shared" si="91"/>
        <v>&amp;nbsp;&amp;nbsp;</v>
      </c>
      <c r="U254" t="str">
        <f t="shared" si="86"/>
        <v xml:space="preserve"> _ _ </v>
      </c>
      <c r="V254" s="1" t="s">
        <v>243</v>
      </c>
      <c r="W254" t="str">
        <f t="shared" si="104"/>
        <v>Skiing [9]</v>
      </c>
      <c r="X254" t="str">
        <f t="shared" si="89"/>
        <v>Sk</v>
      </c>
      <c r="Y254">
        <f t="shared" si="90"/>
        <v>10</v>
      </c>
      <c r="Z254">
        <f t="shared" si="105"/>
        <v>11</v>
      </c>
      <c r="AA254">
        <f t="shared" si="103"/>
        <v>1</v>
      </c>
    </row>
    <row r="255" spans="1:27" x14ac:dyDescent="0.25">
      <c r="A255" t="e">
        <f t="shared" si="95"/>
        <v>#VALUE!</v>
      </c>
      <c r="B255" t="e">
        <f t="shared" si="96"/>
        <v>#VALUE!</v>
      </c>
      <c r="C255" t="e">
        <f t="shared" si="97"/>
        <v>#VALUE!</v>
      </c>
      <c r="D255" t="e">
        <f t="shared" si="87"/>
        <v>#VALUE!</v>
      </c>
      <c r="E255" t="e">
        <f t="shared" si="98"/>
        <v>#VALUE!</v>
      </c>
      <c r="F255">
        <f t="shared" si="99"/>
        <v>0</v>
      </c>
      <c r="G255">
        <f t="shared" si="100"/>
        <v>6</v>
      </c>
      <c r="H255" t="s">
        <v>505</v>
      </c>
      <c r="I255" t="str">
        <f t="shared" si="83"/>
        <v/>
      </c>
      <c r="J255" t="str">
        <f t="shared" si="84"/>
        <v/>
      </c>
      <c r="K255">
        <f t="shared" si="85"/>
        <v>22</v>
      </c>
      <c r="L255" t="str">
        <f t="shared" si="92"/>
        <v>|1,Team Sports</v>
      </c>
      <c r="N255" t="str">
        <f t="shared" si="101"/>
        <v>Te</v>
      </c>
      <c r="O255">
        <f t="shared" si="102"/>
        <v>1</v>
      </c>
      <c r="P255" t="str">
        <f t="shared" si="93"/>
        <v>Sp/Te</v>
      </c>
      <c r="Q255" s="1" t="str">
        <f t="shared" si="94"/>
        <v>Team Sports</v>
      </c>
      <c r="R255" s="2" t="str">
        <f t="shared" si="88"/>
        <v>&lt;li&gt;&lt;input type='checkbox'class= 'ckbx' name='0'value='Sp/Te'&gt; _ _ Team Sports&lt;/li&gt;</v>
      </c>
      <c r="T255" t="str">
        <f t="shared" si="91"/>
        <v>&amp;nbsp;&amp;nbsp;</v>
      </c>
      <c r="U255" t="str">
        <f t="shared" si="86"/>
        <v xml:space="preserve"> _ _ </v>
      </c>
      <c r="V255" s="1" t="s">
        <v>244</v>
      </c>
      <c r="W255" t="str">
        <f t="shared" si="104"/>
        <v>Team Sports</v>
      </c>
      <c r="X255" t="str">
        <f t="shared" si="89"/>
        <v>Te</v>
      </c>
      <c r="Y255">
        <f t="shared" si="90"/>
        <v>11</v>
      </c>
      <c r="Z255">
        <f t="shared" si="105"/>
        <v>12</v>
      </c>
      <c r="AA255">
        <f t="shared" si="103"/>
        <v>1</v>
      </c>
    </row>
    <row r="256" spans="1:27" x14ac:dyDescent="0.25">
      <c r="A256">
        <f t="shared" si="95"/>
        <v>17</v>
      </c>
      <c r="B256">
        <f t="shared" si="96"/>
        <v>20</v>
      </c>
      <c r="C256" t="str">
        <f t="shared" si="97"/>
        <v>18]</v>
      </c>
      <c r="D256">
        <f t="shared" si="87"/>
        <v>3</v>
      </c>
      <c r="E256" t="str">
        <f t="shared" si="98"/>
        <v>18</v>
      </c>
      <c r="F256" t="str">
        <f t="shared" si="99"/>
        <v>18</v>
      </c>
      <c r="G256">
        <f t="shared" si="100"/>
        <v>9</v>
      </c>
      <c r="H256" t="s">
        <v>506</v>
      </c>
      <c r="I256" t="str">
        <f t="shared" si="83"/>
        <v/>
      </c>
      <c r="J256" t="str">
        <f t="shared" si="84"/>
        <v/>
      </c>
      <c r="K256">
        <f t="shared" si="85"/>
        <v>20</v>
      </c>
      <c r="L256" t="str">
        <f t="shared" si="92"/>
        <v>|2,BK-Basketball [18]</v>
      </c>
      <c r="N256" t="str">
        <f t="shared" si="101"/>
        <v>BK</v>
      </c>
      <c r="O256">
        <f t="shared" si="102"/>
        <v>2</v>
      </c>
      <c r="P256" t="str">
        <f t="shared" si="93"/>
        <v>Sp/Te/BK</v>
      </c>
      <c r="Q256" s="1" t="str">
        <f t="shared" si="94"/>
        <v>BK-Basketball [18]</v>
      </c>
      <c r="R256" s="2" t="str">
        <f t="shared" si="88"/>
        <v>&lt;li&gt;&lt;input type='checkbox'class= 'ckbx' name='18'value='Sp/Te/BK'&gt; _ _ _ _BK-Basketball [18]&lt;/li&gt;</v>
      </c>
      <c r="T256" t="str">
        <f t="shared" si="91"/>
        <v>&amp;nbsp;&amp;nbsp;&amp;nbsp;&amp;nbsp;</v>
      </c>
      <c r="U256" t="str">
        <f t="shared" si="86"/>
        <v xml:space="preserve"> _ _ _ _</v>
      </c>
      <c r="V256" s="1" t="s">
        <v>245</v>
      </c>
      <c r="W256" t="str">
        <f t="shared" si="104"/>
        <v>BK-Basketball [18]</v>
      </c>
      <c r="X256" t="str">
        <f t="shared" si="89"/>
        <v>BK</v>
      </c>
      <c r="Y256">
        <f t="shared" si="90"/>
        <v>18</v>
      </c>
      <c r="Z256">
        <f t="shared" si="105"/>
        <v>20</v>
      </c>
      <c r="AA256">
        <f t="shared" si="103"/>
        <v>2</v>
      </c>
    </row>
    <row r="257" spans="1:27" x14ac:dyDescent="0.25">
      <c r="A257">
        <f t="shared" si="95"/>
        <v>12</v>
      </c>
      <c r="B257">
        <f t="shared" si="96"/>
        <v>14</v>
      </c>
      <c r="C257" t="str">
        <f t="shared" si="97"/>
        <v>9]</v>
      </c>
      <c r="D257">
        <f t="shared" si="87"/>
        <v>2</v>
      </c>
      <c r="E257" t="str">
        <f t="shared" si="98"/>
        <v>9</v>
      </c>
      <c r="F257" t="str">
        <f t="shared" si="99"/>
        <v>9</v>
      </c>
      <c r="G257">
        <f t="shared" si="100"/>
        <v>9</v>
      </c>
      <c r="H257" t="s">
        <v>507</v>
      </c>
      <c r="I257" t="str">
        <f t="shared" si="83"/>
        <v/>
      </c>
      <c r="J257" t="str">
        <f t="shared" si="84"/>
        <v/>
      </c>
      <c r="K257">
        <f t="shared" si="85"/>
        <v>20</v>
      </c>
      <c r="L257" t="str">
        <f t="shared" si="92"/>
        <v>|2,Baseball [9]</v>
      </c>
      <c r="N257" t="str">
        <f t="shared" si="101"/>
        <v>Ba</v>
      </c>
      <c r="O257">
        <f t="shared" si="102"/>
        <v>2</v>
      </c>
      <c r="P257" t="str">
        <f t="shared" si="93"/>
        <v>Sp/Te/Ba</v>
      </c>
      <c r="Q257" s="1" t="str">
        <f t="shared" si="94"/>
        <v>Baseball [9]</v>
      </c>
      <c r="R257" s="2" t="str">
        <f t="shared" si="88"/>
        <v>&lt;li&gt;&lt;input type='checkbox'class= 'ckbx' name='9'value='Sp/Te/Ba'&gt; _ _ _ _Baseball [9]&lt;/li&gt;</v>
      </c>
      <c r="T257" t="str">
        <f t="shared" si="91"/>
        <v>&amp;nbsp;&amp;nbsp;&amp;nbsp;&amp;nbsp;</v>
      </c>
      <c r="U257" t="str">
        <f t="shared" si="86"/>
        <v xml:space="preserve"> _ _ _ _</v>
      </c>
      <c r="V257" s="1" t="s">
        <v>246</v>
      </c>
      <c r="W257" t="str">
        <f t="shared" si="104"/>
        <v>Baseball [9]</v>
      </c>
      <c r="X257" t="str">
        <f t="shared" si="89"/>
        <v>Ba</v>
      </c>
      <c r="Y257">
        <f t="shared" si="90"/>
        <v>12</v>
      </c>
      <c r="Z257">
        <f t="shared" si="105"/>
        <v>14</v>
      </c>
      <c r="AA257">
        <f t="shared" si="103"/>
        <v>2</v>
      </c>
    </row>
    <row r="258" spans="1:27" x14ac:dyDescent="0.25">
      <c r="A258">
        <f t="shared" si="95"/>
        <v>11</v>
      </c>
      <c r="B258">
        <f t="shared" si="96"/>
        <v>15</v>
      </c>
      <c r="C258" t="str">
        <f t="shared" si="97"/>
        <v>483]</v>
      </c>
      <c r="D258">
        <f t="shared" si="87"/>
        <v>4</v>
      </c>
      <c r="E258" t="str">
        <f t="shared" si="98"/>
        <v>483</v>
      </c>
      <c r="F258" t="str">
        <f t="shared" si="99"/>
        <v>483</v>
      </c>
      <c r="G258">
        <f t="shared" si="100"/>
        <v>9</v>
      </c>
      <c r="H258" t="s">
        <v>508</v>
      </c>
      <c r="I258" t="str">
        <f t="shared" si="83"/>
        <v/>
      </c>
      <c r="J258" t="str">
        <f t="shared" si="84"/>
        <v/>
      </c>
      <c r="K258">
        <f t="shared" si="85"/>
        <v>20</v>
      </c>
      <c r="L258" t="str">
        <f t="shared" si="92"/>
        <v>|2,College [483]</v>
      </c>
      <c r="N258" t="str">
        <f t="shared" si="101"/>
        <v>Co</v>
      </c>
      <c r="O258">
        <f t="shared" si="102"/>
        <v>2</v>
      </c>
      <c r="P258" t="str">
        <f t="shared" si="93"/>
        <v>Sp/Te/Co</v>
      </c>
      <c r="Q258" s="1" t="str">
        <f t="shared" si="94"/>
        <v>College [483]</v>
      </c>
      <c r="R258" s="2" t="str">
        <f t="shared" si="88"/>
        <v>&lt;li&gt;&lt;input type='checkbox'class= 'ckbx' name='483'value='Sp/Te/Co'&gt; _ _ _ _College [483]&lt;/li&gt;</v>
      </c>
      <c r="T258" t="str">
        <f t="shared" si="91"/>
        <v>&amp;nbsp;&amp;nbsp;&amp;nbsp;&amp;nbsp;</v>
      </c>
      <c r="U258" t="str">
        <f t="shared" si="86"/>
        <v xml:space="preserve"> _ _ _ _</v>
      </c>
      <c r="V258" s="1" t="s">
        <v>247</v>
      </c>
      <c r="W258" t="str">
        <f t="shared" si="104"/>
        <v>College [483]</v>
      </c>
      <c r="X258" t="str">
        <f t="shared" si="89"/>
        <v>Co</v>
      </c>
      <c r="Y258">
        <f t="shared" si="90"/>
        <v>13</v>
      </c>
      <c r="Z258">
        <f t="shared" si="105"/>
        <v>15</v>
      </c>
      <c r="AA258">
        <f t="shared" si="103"/>
        <v>2</v>
      </c>
    </row>
    <row r="259" spans="1:27" x14ac:dyDescent="0.25">
      <c r="A259">
        <f t="shared" si="95"/>
        <v>18</v>
      </c>
      <c r="B259">
        <f t="shared" si="96"/>
        <v>21</v>
      </c>
      <c r="C259" t="str">
        <f t="shared" si="97"/>
        <v>13]</v>
      </c>
      <c r="D259">
        <f t="shared" si="87"/>
        <v>3</v>
      </c>
      <c r="E259" t="str">
        <f t="shared" si="98"/>
        <v>13</v>
      </c>
      <c r="F259" t="str">
        <f t="shared" si="99"/>
        <v>13</v>
      </c>
      <c r="G259">
        <f t="shared" si="100"/>
        <v>3</v>
      </c>
      <c r="H259" t="s">
        <v>294</v>
      </c>
      <c r="I259" t="str">
        <f t="shared" si="83"/>
        <v>&lt;b&gt;</v>
      </c>
      <c r="J259" t="str">
        <f t="shared" si="84"/>
        <v>&lt;/b&gt;</v>
      </c>
      <c r="K259">
        <f t="shared" si="85"/>
        <v>24</v>
      </c>
      <c r="L259" t="str">
        <f t="shared" si="92"/>
        <v>|0,Testing Material [13]</v>
      </c>
      <c r="N259" t="str">
        <f t="shared" si="101"/>
        <v>Te</v>
      </c>
      <c r="O259">
        <f t="shared" si="102"/>
        <v>0</v>
      </c>
      <c r="P259" t="str">
        <f t="shared" si="93"/>
        <v>Te</v>
      </c>
      <c r="Q259" s="1" t="str">
        <f t="shared" si="94"/>
        <v>Testing Material [13]</v>
      </c>
      <c r="R259" s="2" t="str">
        <f t="shared" si="88"/>
        <v>&lt;li&gt;&lt;input type='checkbox'class= 'ckbx' name='13'value='Te'&gt;&lt;b&gt;Testing Material [13]&lt;/b&gt;&lt;/li&gt;</v>
      </c>
      <c r="T259" t="str">
        <f t="shared" si="91"/>
        <v/>
      </c>
      <c r="U259" t="str">
        <f t="shared" si="86"/>
        <v/>
      </c>
      <c r="V259" s="1" t="s">
        <v>248</v>
      </c>
      <c r="W259" t="str">
        <f t="shared" si="104"/>
        <v>Testing Material [13]</v>
      </c>
      <c r="X259" t="str">
        <f t="shared" si="89"/>
        <v>Te</v>
      </c>
      <c r="Y259">
        <f t="shared" si="90"/>
        <v>21</v>
      </c>
      <c r="Z259">
        <f t="shared" si="105"/>
        <v>21</v>
      </c>
      <c r="AA259">
        <f t="shared" si="103"/>
        <v>0</v>
      </c>
    </row>
    <row r="260" spans="1:27" x14ac:dyDescent="0.25">
      <c r="A260" t="e">
        <f t="shared" si="95"/>
        <v>#VALUE!</v>
      </c>
      <c r="B260" t="e">
        <f t="shared" si="96"/>
        <v>#VALUE!</v>
      </c>
      <c r="C260" t="e">
        <f t="shared" si="97"/>
        <v>#VALUE!</v>
      </c>
      <c r="D260" t="e">
        <f t="shared" si="87"/>
        <v>#VALUE!</v>
      </c>
      <c r="E260" t="e">
        <f t="shared" si="98"/>
        <v>#VALUE!</v>
      </c>
      <c r="F260">
        <f t="shared" si="99"/>
        <v>0</v>
      </c>
      <c r="G260">
        <f t="shared" si="100"/>
        <v>3</v>
      </c>
      <c r="H260" t="s">
        <v>295</v>
      </c>
      <c r="I260" t="str">
        <f t="shared" si="83"/>
        <v>&lt;b&gt;</v>
      </c>
      <c r="J260" t="str">
        <f t="shared" si="84"/>
        <v>&lt;/b&gt;</v>
      </c>
      <c r="K260">
        <f t="shared" si="85"/>
        <v>24</v>
      </c>
      <c r="L260" t="str">
        <f t="shared" si="92"/>
        <v>|0,Travel</v>
      </c>
      <c r="N260" t="str">
        <f t="shared" si="101"/>
        <v>Tr</v>
      </c>
      <c r="O260">
        <f t="shared" si="102"/>
        <v>0</v>
      </c>
      <c r="P260" t="str">
        <f t="shared" si="93"/>
        <v>Tr</v>
      </c>
      <c r="Q260" s="1" t="str">
        <f t="shared" si="94"/>
        <v>Travel</v>
      </c>
      <c r="R260" s="2" t="str">
        <f t="shared" si="88"/>
        <v>&lt;li&gt;&lt;input type='checkbox'class= 'ckbx' name='0'value='Tr'&gt;&lt;b&gt;Travel&lt;/b&gt;&lt;/li&gt;</v>
      </c>
      <c r="T260" t="str">
        <f t="shared" si="91"/>
        <v/>
      </c>
      <c r="U260" t="str">
        <f t="shared" si="86"/>
        <v/>
      </c>
      <c r="V260" s="1" t="s">
        <v>249</v>
      </c>
      <c r="W260" t="str">
        <f t="shared" si="104"/>
        <v>Travel</v>
      </c>
      <c r="X260" t="str">
        <f t="shared" si="89"/>
        <v>Tr</v>
      </c>
      <c r="Y260">
        <f t="shared" si="90"/>
        <v>6</v>
      </c>
      <c r="Z260">
        <f t="shared" si="105"/>
        <v>6</v>
      </c>
      <c r="AA260">
        <f t="shared" si="103"/>
        <v>0</v>
      </c>
    </row>
    <row r="261" spans="1:27" x14ac:dyDescent="0.25">
      <c r="A261">
        <f t="shared" si="95"/>
        <v>11</v>
      </c>
      <c r="B261">
        <f t="shared" si="96"/>
        <v>13</v>
      </c>
      <c r="C261" t="str">
        <f t="shared" si="97"/>
        <v>6]</v>
      </c>
      <c r="D261">
        <f t="shared" si="87"/>
        <v>2</v>
      </c>
      <c r="E261" t="str">
        <f t="shared" si="98"/>
        <v>6</v>
      </c>
      <c r="F261" t="str">
        <f t="shared" si="99"/>
        <v>6</v>
      </c>
      <c r="G261">
        <f t="shared" si="100"/>
        <v>6</v>
      </c>
      <c r="H261" t="s">
        <v>509</v>
      </c>
      <c r="I261" t="str">
        <f t="shared" si="83"/>
        <v/>
      </c>
      <c r="J261" t="str">
        <f t="shared" si="84"/>
        <v/>
      </c>
      <c r="K261">
        <f t="shared" si="85"/>
        <v>22</v>
      </c>
      <c r="L261" t="str">
        <f t="shared" si="92"/>
        <v>|1,Aviation [6]</v>
      </c>
      <c r="N261" t="str">
        <f t="shared" si="101"/>
        <v>Av</v>
      </c>
      <c r="O261">
        <f t="shared" si="102"/>
        <v>1</v>
      </c>
      <c r="P261" t="str">
        <f t="shared" si="93"/>
        <v>Tr/Av</v>
      </c>
      <c r="Q261" s="1" t="str">
        <f t="shared" si="94"/>
        <v>Aviation [6]</v>
      </c>
      <c r="R261" s="2" t="str">
        <f t="shared" si="88"/>
        <v>&lt;li&gt;&lt;input type='checkbox'class= 'ckbx' name='6'value='Tr/Av'&gt; _ _ Aviation [6]&lt;/li&gt;</v>
      </c>
      <c r="T261" t="str">
        <f t="shared" si="91"/>
        <v>&amp;nbsp;&amp;nbsp;</v>
      </c>
      <c r="U261" t="str">
        <f t="shared" si="86"/>
        <v xml:space="preserve"> _ _ </v>
      </c>
      <c r="V261" s="1" t="s">
        <v>250</v>
      </c>
      <c r="W261" t="str">
        <f t="shared" si="104"/>
        <v>Aviation [6]</v>
      </c>
      <c r="X261" t="str">
        <f t="shared" si="89"/>
        <v>Av</v>
      </c>
      <c r="Y261">
        <f t="shared" si="90"/>
        <v>12</v>
      </c>
      <c r="Z261">
        <f t="shared" si="105"/>
        <v>13</v>
      </c>
      <c r="AA261">
        <f t="shared" si="103"/>
        <v>1</v>
      </c>
    </row>
    <row r="262" spans="1:27" x14ac:dyDescent="0.25">
      <c r="A262">
        <f t="shared" si="95"/>
        <v>21</v>
      </c>
      <c r="B262">
        <f t="shared" si="96"/>
        <v>23</v>
      </c>
      <c r="C262" t="str">
        <f t="shared" si="97"/>
        <v>5]</v>
      </c>
      <c r="D262">
        <f t="shared" si="87"/>
        <v>2</v>
      </c>
      <c r="E262" t="str">
        <f t="shared" si="98"/>
        <v>5</v>
      </c>
      <c r="F262" t="str">
        <f t="shared" si="99"/>
        <v>5</v>
      </c>
      <c r="G262">
        <f t="shared" si="100"/>
        <v>6</v>
      </c>
      <c r="H262" t="s">
        <v>510</v>
      </c>
      <c r="I262" t="str">
        <f t="shared" si="83"/>
        <v/>
      </c>
      <c r="J262" t="str">
        <f t="shared" si="84"/>
        <v/>
      </c>
      <c r="K262">
        <f t="shared" si="85"/>
        <v>22</v>
      </c>
      <c r="L262" t="str">
        <f t="shared" si="92"/>
        <v>|1,Points of Interest [5]</v>
      </c>
      <c r="N262" t="str">
        <f t="shared" si="101"/>
        <v>Po</v>
      </c>
      <c r="O262">
        <f t="shared" si="102"/>
        <v>1</v>
      </c>
      <c r="P262" t="str">
        <f t="shared" si="93"/>
        <v>Tr/Po</v>
      </c>
      <c r="Q262" s="1" t="str">
        <f t="shared" si="94"/>
        <v>Points of Interest [5]</v>
      </c>
      <c r="R262" s="2" t="str">
        <f t="shared" si="88"/>
        <v>&lt;li&gt;&lt;input type='checkbox'class= 'ckbx' name='5'value='Tr/Po'&gt; _ _ Points of Interest [5]&lt;/li&gt;</v>
      </c>
      <c r="T262" t="str">
        <f t="shared" si="91"/>
        <v>&amp;nbsp;&amp;nbsp;</v>
      </c>
      <c r="U262" t="str">
        <f t="shared" si="86"/>
        <v xml:space="preserve"> _ _ </v>
      </c>
      <c r="V262" s="1" t="s">
        <v>251</v>
      </c>
      <c r="W262" t="str">
        <f t="shared" si="104"/>
        <v>Points of Interest [5]</v>
      </c>
      <c r="X262" t="str">
        <f t="shared" si="89"/>
        <v>Po</v>
      </c>
      <c r="Y262">
        <f t="shared" si="90"/>
        <v>22</v>
      </c>
      <c r="Z262">
        <f t="shared" si="105"/>
        <v>23</v>
      </c>
      <c r="AA262">
        <f t="shared" si="103"/>
        <v>1</v>
      </c>
    </row>
    <row r="263" spans="1:27" x14ac:dyDescent="0.25">
      <c r="A263">
        <f t="shared" si="95"/>
        <v>19</v>
      </c>
      <c r="B263">
        <f t="shared" si="96"/>
        <v>21</v>
      </c>
      <c r="C263" t="str">
        <f t="shared" si="97"/>
        <v>5]</v>
      </c>
      <c r="D263">
        <f t="shared" si="87"/>
        <v>2</v>
      </c>
      <c r="E263" t="str">
        <f t="shared" si="98"/>
        <v>5</v>
      </c>
      <c r="F263" t="str">
        <f t="shared" si="99"/>
        <v>5</v>
      </c>
      <c r="G263">
        <f t="shared" si="100"/>
        <v>6</v>
      </c>
      <c r="H263" t="s">
        <v>511</v>
      </c>
      <c r="I263" t="str">
        <f t="shared" si="83"/>
        <v/>
      </c>
      <c r="J263" t="str">
        <f t="shared" si="84"/>
        <v/>
      </c>
      <c r="K263">
        <f t="shared" si="85"/>
        <v>22</v>
      </c>
      <c r="L263" t="str">
        <f t="shared" si="92"/>
        <v>|1,US-United States [5]</v>
      </c>
      <c r="N263" t="str">
        <f t="shared" si="101"/>
        <v>US</v>
      </c>
      <c r="O263">
        <f t="shared" si="102"/>
        <v>1</v>
      </c>
      <c r="P263" t="str">
        <f t="shared" si="93"/>
        <v>Tr/US</v>
      </c>
      <c r="Q263" s="1" t="str">
        <f t="shared" si="94"/>
        <v>US-United States [5]</v>
      </c>
      <c r="R263" s="2" t="str">
        <f t="shared" si="88"/>
        <v>&lt;li&gt;&lt;input type='checkbox'class= 'ckbx' name='5'value='Tr/US'&gt; _ _ US-United States [5]&lt;/li&gt;</v>
      </c>
      <c r="T263" t="str">
        <f t="shared" si="91"/>
        <v>&amp;nbsp;&amp;nbsp;</v>
      </c>
      <c r="U263" t="str">
        <f t="shared" si="86"/>
        <v xml:space="preserve"> _ _ </v>
      </c>
      <c r="V263" s="1" t="s">
        <v>252</v>
      </c>
      <c r="W263" t="str">
        <f t="shared" si="104"/>
        <v>US-United States [5]</v>
      </c>
      <c r="X263" t="str">
        <f t="shared" si="89"/>
        <v>US</v>
      </c>
      <c r="Y263">
        <f t="shared" si="90"/>
        <v>20</v>
      </c>
      <c r="Z263">
        <f t="shared" si="105"/>
        <v>21</v>
      </c>
      <c r="AA263">
        <f t="shared" si="103"/>
        <v>1</v>
      </c>
    </row>
    <row r="264" spans="1:27" x14ac:dyDescent="0.25">
      <c r="A264">
        <f t="shared" si="95"/>
        <v>11</v>
      </c>
      <c r="B264">
        <f t="shared" si="96"/>
        <v>13</v>
      </c>
      <c r="C264" t="str">
        <f t="shared" si="97"/>
        <v>3]</v>
      </c>
      <c r="D264">
        <f t="shared" si="87"/>
        <v>2</v>
      </c>
      <c r="E264" t="str">
        <f t="shared" si="98"/>
        <v>3</v>
      </c>
      <c r="F264" t="str">
        <f t="shared" si="99"/>
        <v>3</v>
      </c>
      <c r="G264">
        <f t="shared" si="100"/>
        <v>9</v>
      </c>
      <c r="H264" t="s">
        <v>512</v>
      </c>
      <c r="I264" t="str">
        <f t="shared" si="83"/>
        <v/>
      </c>
      <c r="J264" t="str">
        <f t="shared" si="84"/>
        <v/>
      </c>
      <c r="K264">
        <f t="shared" si="85"/>
        <v>20</v>
      </c>
      <c r="L264" t="str">
        <f t="shared" si="92"/>
        <v>|2,Central [3]</v>
      </c>
      <c r="N264" t="str">
        <f t="shared" si="101"/>
        <v>Ce</v>
      </c>
      <c r="O264">
        <f t="shared" si="102"/>
        <v>2</v>
      </c>
      <c r="P264" t="str">
        <f t="shared" si="93"/>
        <v>Tr/US/Ce</v>
      </c>
      <c r="Q264" s="1" t="str">
        <f t="shared" si="94"/>
        <v>Central [3]</v>
      </c>
      <c r="R264" s="2" t="str">
        <f t="shared" si="88"/>
        <v>&lt;li&gt;&lt;input type='checkbox'class= 'ckbx' name='3'value='Tr/US/Ce'&gt; _ _ _ _Central [3]&lt;/li&gt;</v>
      </c>
      <c r="T264" t="str">
        <f t="shared" si="91"/>
        <v>&amp;nbsp;&amp;nbsp;&amp;nbsp;&amp;nbsp;</v>
      </c>
      <c r="U264" t="str">
        <f t="shared" si="86"/>
        <v xml:space="preserve"> _ _ _ _</v>
      </c>
      <c r="V264" s="1" t="s">
        <v>253</v>
      </c>
      <c r="W264" t="str">
        <f t="shared" si="104"/>
        <v>Central [3]</v>
      </c>
      <c r="X264" t="str">
        <f t="shared" si="89"/>
        <v>Ce</v>
      </c>
      <c r="Y264">
        <f t="shared" si="90"/>
        <v>11</v>
      </c>
      <c r="Z264">
        <f t="shared" si="105"/>
        <v>13</v>
      </c>
      <c r="AA264">
        <f t="shared" si="103"/>
        <v>2</v>
      </c>
    </row>
    <row r="265" spans="1:27" x14ac:dyDescent="0.25">
      <c r="A265">
        <f t="shared" si="95"/>
        <v>8</v>
      </c>
      <c r="B265">
        <f t="shared" si="96"/>
        <v>10</v>
      </c>
      <c r="C265" t="str">
        <f t="shared" si="97"/>
        <v>4]</v>
      </c>
      <c r="D265">
        <f t="shared" si="87"/>
        <v>2</v>
      </c>
      <c r="E265" t="str">
        <f t="shared" si="98"/>
        <v>4</v>
      </c>
      <c r="F265" t="str">
        <f t="shared" si="99"/>
        <v>4</v>
      </c>
      <c r="G265">
        <f t="shared" si="100"/>
        <v>9</v>
      </c>
      <c r="H265" t="s">
        <v>513</v>
      </c>
      <c r="I265" t="str">
        <f t="shared" si="83"/>
        <v/>
      </c>
      <c r="J265" t="str">
        <f t="shared" si="84"/>
        <v/>
      </c>
      <c r="K265">
        <f t="shared" si="85"/>
        <v>20</v>
      </c>
      <c r="L265" t="str">
        <f t="shared" si="92"/>
        <v>|2,West [4]</v>
      </c>
      <c r="N265" t="str">
        <f t="shared" si="101"/>
        <v>We</v>
      </c>
      <c r="O265">
        <f t="shared" si="102"/>
        <v>2</v>
      </c>
      <c r="P265" t="str">
        <f t="shared" si="93"/>
        <v>Tr/US/We</v>
      </c>
      <c r="Q265" s="1" t="str">
        <f t="shared" si="94"/>
        <v>West [4]</v>
      </c>
      <c r="R265" s="2" t="str">
        <f t="shared" si="88"/>
        <v>&lt;li&gt;&lt;input type='checkbox'class= 'ckbx' name='4'value='Tr/US/We'&gt; _ _ _ _West [4]&lt;/li&gt;</v>
      </c>
      <c r="T265" t="str">
        <f t="shared" si="91"/>
        <v>&amp;nbsp;&amp;nbsp;&amp;nbsp;&amp;nbsp;</v>
      </c>
      <c r="U265" t="str">
        <f t="shared" si="86"/>
        <v xml:space="preserve"> _ _ _ _</v>
      </c>
      <c r="V265" s="1" t="s">
        <v>254</v>
      </c>
      <c r="W265" t="str">
        <f t="shared" si="104"/>
        <v>West [4]</v>
      </c>
      <c r="X265" t="str">
        <f t="shared" si="89"/>
        <v>We</v>
      </c>
      <c r="Y265">
        <f t="shared" si="90"/>
        <v>8</v>
      </c>
      <c r="Z265">
        <f t="shared" si="105"/>
        <v>10</v>
      </c>
      <c r="AA265">
        <f t="shared" si="103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6E4C-52D7-4DD4-85AB-06219331E637}">
  <dimension ref="C4:C108"/>
  <sheetViews>
    <sheetView topLeftCell="A52" workbookViewId="0">
      <selection activeCell="D19" sqref="D19"/>
    </sheetView>
  </sheetViews>
  <sheetFormatPr defaultRowHeight="15" x14ac:dyDescent="0.25"/>
  <sheetData>
    <row r="4" spans="3:3" x14ac:dyDescent="0.25">
      <c r="C4" t="s">
        <v>514</v>
      </c>
    </row>
    <row r="5" spans="3:3" x14ac:dyDescent="0.25">
      <c r="C5" t="s">
        <v>515</v>
      </c>
    </row>
    <row r="6" spans="3:3" x14ac:dyDescent="0.25">
      <c r="C6" t="s">
        <v>516</v>
      </c>
    </row>
    <row r="7" spans="3:3" x14ac:dyDescent="0.25">
      <c r="C7" t="s">
        <v>517</v>
      </c>
    </row>
    <row r="8" spans="3:3" x14ac:dyDescent="0.25">
      <c r="C8" t="s">
        <v>518</v>
      </c>
    </row>
    <row r="9" spans="3:3" x14ac:dyDescent="0.25">
      <c r="C9" t="s">
        <v>519</v>
      </c>
    </row>
    <row r="10" spans="3:3" x14ac:dyDescent="0.25">
      <c r="C10" t="s">
        <v>520</v>
      </c>
    </row>
    <row r="11" spans="3:3" x14ac:dyDescent="0.25">
      <c r="C11" t="s">
        <v>521</v>
      </c>
    </row>
    <row r="12" spans="3:3" x14ac:dyDescent="0.25">
      <c r="C12" t="s">
        <v>522</v>
      </c>
    </row>
    <row r="13" spans="3:3" x14ac:dyDescent="0.25">
      <c r="C13" t="s">
        <v>523</v>
      </c>
    </row>
    <row r="14" spans="3:3" x14ac:dyDescent="0.25">
      <c r="C14" t="s">
        <v>524</v>
      </c>
    </row>
    <row r="15" spans="3:3" x14ac:dyDescent="0.25">
      <c r="C15" t="s">
        <v>525</v>
      </c>
    </row>
    <row r="17" spans="3:3" x14ac:dyDescent="0.25">
      <c r="C17" t="s">
        <v>600</v>
      </c>
    </row>
    <row r="18" spans="3:3" x14ac:dyDescent="0.25">
      <c r="C18" t="s">
        <v>526</v>
      </c>
    </row>
    <row r="19" spans="3:3" x14ac:dyDescent="0.25">
      <c r="C19" t="s">
        <v>527</v>
      </c>
    </row>
    <row r="20" spans="3:3" x14ac:dyDescent="0.25">
      <c r="C20" t="s">
        <v>528</v>
      </c>
    </row>
    <row r="21" spans="3:3" x14ac:dyDescent="0.25">
      <c r="C21" t="s">
        <v>529</v>
      </c>
    </row>
    <row r="22" spans="3:3" x14ac:dyDescent="0.25">
      <c r="C22" t="s">
        <v>530</v>
      </c>
    </row>
    <row r="23" spans="3:3" x14ac:dyDescent="0.25">
      <c r="C23" t="s">
        <v>531</v>
      </c>
    </row>
    <row r="24" spans="3:3" x14ac:dyDescent="0.25">
      <c r="C24" t="s">
        <v>532</v>
      </c>
    </row>
    <row r="25" spans="3:3" x14ac:dyDescent="0.25">
      <c r="C25" t="s">
        <v>1</v>
      </c>
    </row>
    <row r="26" spans="3:3" x14ac:dyDescent="0.25">
      <c r="C26" t="s">
        <v>2</v>
      </c>
    </row>
    <row r="27" spans="3:3" x14ac:dyDescent="0.25">
      <c r="C27" t="s">
        <v>3</v>
      </c>
    </row>
    <row r="28" spans="3:3" x14ac:dyDescent="0.25">
      <c r="C28" t="s">
        <v>4</v>
      </c>
    </row>
    <row r="29" spans="3:3" x14ac:dyDescent="0.25">
      <c r="C29" t="s">
        <v>5</v>
      </c>
    </row>
    <row r="30" spans="3:3" x14ac:dyDescent="0.25">
      <c r="C30" t="s">
        <v>6</v>
      </c>
    </row>
    <row r="31" spans="3:3" x14ac:dyDescent="0.25">
      <c r="C31" t="s">
        <v>7</v>
      </c>
    </row>
    <row r="32" spans="3:3" x14ac:dyDescent="0.25">
      <c r="C32" t="s">
        <v>533</v>
      </c>
    </row>
    <row r="33" spans="3:3" x14ac:dyDescent="0.25">
      <c r="C33" t="s">
        <v>534</v>
      </c>
    </row>
    <row r="34" spans="3:3" x14ac:dyDescent="0.25">
      <c r="C34" t="s">
        <v>535</v>
      </c>
    </row>
    <row r="35" spans="3:3" x14ac:dyDescent="0.25">
      <c r="C35" t="s">
        <v>536</v>
      </c>
    </row>
    <row r="36" spans="3:3" x14ac:dyDescent="0.25">
      <c r="C36" t="s">
        <v>537</v>
      </c>
    </row>
    <row r="37" spans="3:3" x14ac:dyDescent="0.25">
      <c r="C37" t="s">
        <v>538</v>
      </c>
    </row>
    <row r="38" spans="3:3" x14ac:dyDescent="0.25">
      <c r="C38" t="s">
        <v>539</v>
      </c>
    </row>
    <row r="39" spans="3:3" x14ac:dyDescent="0.25">
      <c r="C39" t="s">
        <v>540</v>
      </c>
    </row>
    <row r="40" spans="3:3" x14ac:dyDescent="0.25">
      <c r="C40" t="s">
        <v>541</v>
      </c>
    </row>
    <row r="41" spans="3:3" x14ac:dyDescent="0.25">
      <c r="C41" t="s">
        <v>542</v>
      </c>
    </row>
    <row r="42" spans="3:3" x14ac:dyDescent="0.25">
      <c r="C42" t="s">
        <v>543</v>
      </c>
    </row>
    <row r="43" spans="3:3" x14ac:dyDescent="0.25">
      <c r="C43" t="s">
        <v>544</v>
      </c>
    </row>
    <row r="44" spans="3:3" x14ac:dyDescent="0.25">
      <c r="C44" t="s">
        <v>545</v>
      </c>
    </row>
    <row r="45" spans="3:3" x14ac:dyDescent="0.25">
      <c r="C45" t="s">
        <v>258</v>
      </c>
    </row>
    <row r="46" spans="3:3" x14ac:dyDescent="0.25">
      <c r="C46" t="s">
        <v>257</v>
      </c>
    </row>
    <row r="47" spans="3:3" x14ac:dyDescent="0.25">
      <c r="C47" t="s">
        <v>546</v>
      </c>
    </row>
    <row r="48" spans="3:3" x14ac:dyDescent="0.25">
      <c r="C48" t="s">
        <v>547</v>
      </c>
    </row>
    <row r="49" spans="3:3" x14ac:dyDescent="0.25">
      <c r="C49" t="s">
        <v>548</v>
      </c>
    </row>
    <row r="50" spans="3:3" x14ac:dyDescent="0.25">
      <c r="C50" t="s">
        <v>549</v>
      </c>
    </row>
    <row r="51" spans="3:3" x14ac:dyDescent="0.25">
      <c r="C51" t="s">
        <v>550</v>
      </c>
    </row>
    <row r="52" spans="3:3" x14ac:dyDescent="0.25">
      <c r="C52" t="s">
        <v>551</v>
      </c>
    </row>
    <row r="53" spans="3:3" x14ac:dyDescent="0.25">
      <c r="C53" t="s">
        <v>552</v>
      </c>
    </row>
    <row r="54" spans="3:3" x14ac:dyDescent="0.25">
      <c r="C54" t="s">
        <v>553</v>
      </c>
    </row>
    <row r="55" spans="3:3" x14ac:dyDescent="0.25">
      <c r="C55" t="s">
        <v>553</v>
      </c>
    </row>
    <row r="56" spans="3:3" x14ac:dyDescent="0.25">
      <c r="C56" t="s">
        <v>554</v>
      </c>
    </row>
    <row r="57" spans="3:3" x14ac:dyDescent="0.25">
      <c r="C57" t="s">
        <v>555</v>
      </c>
    </row>
    <row r="59" spans="3:3" x14ac:dyDescent="0.25">
      <c r="C59" t="s">
        <v>556</v>
      </c>
    </row>
    <row r="60" spans="3:3" x14ac:dyDescent="0.25">
      <c r="C60" t="s">
        <v>557</v>
      </c>
    </row>
    <row r="61" spans="3:3" x14ac:dyDescent="0.25">
      <c r="C61" t="s">
        <v>558</v>
      </c>
    </row>
    <row r="62" spans="3:3" x14ac:dyDescent="0.25">
      <c r="C62" t="s">
        <v>559</v>
      </c>
    </row>
    <row r="63" spans="3:3" x14ac:dyDescent="0.25">
      <c r="C63" t="s">
        <v>560</v>
      </c>
    </row>
    <row r="64" spans="3:3" x14ac:dyDescent="0.25">
      <c r="C64" t="s">
        <v>561</v>
      </c>
    </row>
    <row r="65" spans="3:3" x14ac:dyDescent="0.25">
      <c r="C65" t="s">
        <v>562</v>
      </c>
    </row>
    <row r="66" spans="3:3" x14ac:dyDescent="0.25">
      <c r="C66" t="s">
        <v>563</v>
      </c>
    </row>
    <row r="68" spans="3:3" x14ac:dyDescent="0.25">
      <c r="C68" t="s">
        <v>564</v>
      </c>
    </row>
    <row r="69" spans="3:3" x14ac:dyDescent="0.25">
      <c r="C69" t="s">
        <v>565</v>
      </c>
    </row>
    <row r="70" spans="3:3" x14ac:dyDescent="0.25">
      <c r="C70" t="s">
        <v>566</v>
      </c>
    </row>
    <row r="71" spans="3:3" x14ac:dyDescent="0.25">
      <c r="C71" t="s">
        <v>567</v>
      </c>
    </row>
    <row r="72" spans="3:3" x14ac:dyDescent="0.25">
      <c r="C72" t="s">
        <v>568</v>
      </c>
    </row>
    <row r="73" spans="3:3" x14ac:dyDescent="0.25">
      <c r="C73" t="s">
        <v>569</v>
      </c>
    </row>
    <row r="74" spans="3:3" x14ac:dyDescent="0.25">
      <c r="C74" t="s">
        <v>570</v>
      </c>
    </row>
    <row r="75" spans="3:3" x14ac:dyDescent="0.25">
      <c r="C75" t="s">
        <v>571</v>
      </c>
    </row>
    <row r="76" spans="3:3" x14ac:dyDescent="0.25">
      <c r="C76" t="s">
        <v>572</v>
      </c>
    </row>
    <row r="77" spans="3:3" x14ac:dyDescent="0.25">
      <c r="C77" t="s">
        <v>573</v>
      </c>
    </row>
    <row r="78" spans="3:3" x14ac:dyDescent="0.25">
      <c r="C78" t="s">
        <v>574</v>
      </c>
    </row>
    <row r="79" spans="3:3" x14ac:dyDescent="0.25">
      <c r="C79" t="s">
        <v>575</v>
      </c>
    </row>
    <row r="80" spans="3:3" x14ac:dyDescent="0.25">
      <c r="C80" t="s">
        <v>576</v>
      </c>
    </row>
    <row r="81" spans="3:3" x14ac:dyDescent="0.25">
      <c r="C81" t="s">
        <v>577</v>
      </c>
    </row>
    <row r="82" spans="3:3" x14ac:dyDescent="0.25">
      <c r="C82" t="s">
        <v>578</v>
      </c>
    </row>
    <row r="83" spans="3:3" x14ac:dyDescent="0.25">
      <c r="C83" t="s">
        <v>579</v>
      </c>
    </row>
    <row r="84" spans="3:3" x14ac:dyDescent="0.25">
      <c r="C84" t="s">
        <v>580</v>
      </c>
    </row>
    <row r="85" spans="3:3" x14ac:dyDescent="0.25">
      <c r="C85" t="s">
        <v>581</v>
      </c>
    </row>
    <row r="86" spans="3:3" x14ac:dyDescent="0.25">
      <c r="C86" t="s">
        <v>582</v>
      </c>
    </row>
    <row r="87" spans="3:3" x14ac:dyDescent="0.25">
      <c r="C87" t="s">
        <v>583</v>
      </c>
    </row>
    <row r="88" spans="3:3" x14ac:dyDescent="0.25">
      <c r="C88" t="s">
        <v>584</v>
      </c>
    </row>
    <row r="89" spans="3:3" x14ac:dyDescent="0.25">
      <c r="C89" t="s">
        <v>585</v>
      </c>
    </row>
    <row r="90" spans="3:3" x14ac:dyDescent="0.25">
      <c r="C90" t="s">
        <v>586</v>
      </c>
    </row>
    <row r="91" spans="3:3" x14ac:dyDescent="0.25">
      <c r="C91" t="s">
        <v>587</v>
      </c>
    </row>
    <row r="92" spans="3:3" x14ac:dyDescent="0.25">
      <c r="C92" t="s">
        <v>585</v>
      </c>
    </row>
    <row r="93" spans="3:3" x14ac:dyDescent="0.25">
      <c r="C93" t="s">
        <v>588</v>
      </c>
    </row>
    <row r="94" spans="3:3" x14ac:dyDescent="0.25">
      <c r="C94" t="s">
        <v>589</v>
      </c>
    </row>
    <row r="95" spans="3:3" x14ac:dyDescent="0.25">
      <c r="C95" t="s">
        <v>585</v>
      </c>
    </row>
    <row r="96" spans="3:3" x14ac:dyDescent="0.25">
      <c r="C96" t="s">
        <v>590</v>
      </c>
    </row>
    <row r="97" spans="3:3" x14ac:dyDescent="0.25">
      <c r="C97" t="s">
        <v>591</v>
      </c>
    </row>
    <row r="98" spans="3:3" x14ac:dyDescent="0.25">
      <c r="C98" t="s">
        <v>585</v>
      </c>
    </row>
    <row r="99" spans="3:3" x14ac:dyDescent="0.25">
      <c r="C99" t="s">
        <v>592</v>
      </c>
    </row>
    <row r="100" spans="3:3" x14ac:dyDescent="0.25">
      <c r="C100" t="s">
        <v>593</v>
      </c>
    </row>
    <row r="101" spans="3:3" x14ac:dyDescent="0.25">
      <c r="C101" t="s">
        <v>585</v>
      </c>
    </row>
    <row r="102" spans="3:3" x14ac:dyDescent="0.25">
      <c r="C102" t="s">
        <v>594</v>
      </c>
    </row>
    <row r="103" spans="3:3" x14ac:dyDescent="0.25">
      <c r="C103" t="s">
        <v>595</v>
      </c>
    </row>
    <row r="104" spans="3:3" x14ac:dyDescent="0.25">
      <c r="C104" t="s">
        <v>596</v>
      </c>
    </row>
    <row r="105" spans="3:3" x14ac:dyDescent="0.25">
      <c r="C105" t="s">
        <v>597</v>
      </c>
    </row>
    <row r="106" spans="3:3" x14ac:dyDescent="0.25">
      <c r="C106" t="s">
        <v>598</v>
      </c>
    </row>
    <row r="107" spans="3:3" x14ac:dyDescent="0.25">
      <c r="C107" t="s">
        <v>550</v>
      </c>
    </row>
    <row r="108" spans="3:3" x14ac:dyDescent="0.25">
      <c r="C108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Antoniak</dc:creator>
  <cp:lastModifiedBy>Pete Antoniak</cp:lastModifiedBy>
  <dcterms:created xsi:type="dcterms:W3CDTF">2025-02-12T06:41:22Z</dcterms:created>
  <dcterms:modified xsi:type="dcterms:W3CDTF">2025-02-19T00:05:34Z</dcterms:modified>
</cp:coreProperties>
</file>